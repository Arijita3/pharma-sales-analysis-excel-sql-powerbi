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tha\Desktop\kaggle\"/>
    </mc:Choice>
  </mc:AlternateContent>
  <xr:revisionPtr revIDLastSave="0" documentId="8_{08A4C498-C46B-4C9A-ADFB-B71252C538C5}" xr6:coauthVersionLast="47" xr6:coauthVersionMax="47" xr10:uidLastSave="{00000000-0000-0000-0000-000000000000}"/>
  <bookViews>
    <workbookView xWindow="-110" yWindow="-110" windowWidth="19420" windowHeight="10300" xr2:uid="{6A290227-9828-4479-89A2-3C09710583D9}"/>
  </bookViews>
  <sheets>
    <sheet name="sample data s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0" i="1" l="1"/>
  <c r="P70" i="1"/>
  <c r="O70" i="1"/>
  <c r="C70" i="1"/>
  <c r="Q69" i="1"/>
  <c r="P69" i="1"/>
  <c r="O69" i="1"/>
  <c r="C69" i="1"/>
  <c r="Q68" i="1"/>
  <c r="P68" i="1"/>
  <c r="O68" i="1"/>
  <c r="C68" i="1"/>
  <c r="Q67" i="1"/>
  <c r="P67" i="1"/>
  <c r="O67" i="1"/>
  <c r="C67" i="1"/>
  <c r="Q66" i="1"/>
  <c r="P66" i="1"/>
  <c r="O66" i="1"/>
  <c r="C66" i="1"/>
  <c r="Q65" i="1"/>
  <c r="P65" i="1"/>
  <c r="O65" i="1"/>
  <c r="C65" i="1"/>
  <c r="Q64" i="1"/>
  <c r="P64" i="1"/>
  <c r="O64" i="1"/>
  <c r="C64" i="1"/>
  <c r="Q63" i="1"/>
  <c r="P63" i="1"/>
  <c r="O63" i="1"/>
  <c r="C63" i="1"/>
  <c r="Q62" i="1"/>
  <c r="P62" i="1"/>
  <c r="O62" i="1"/>
  <c r="C62" i="1"/>
  <c r="Q61" i="1"/>
  <c r="P61" i="1"/>
  <c r="O61" i="1"/>
  <c r="C61" i="1"/>
  <c r="Q60" i="1"/>
  <c r="P60" i="1"/>
  <c r="O60" i="1"/>
  <c r="C60" i="1"/>
  <c r="Q59" i="1"/>
  <c r="P59" i="1"/>
  <c r="O59" i="1"/>
  <c r="C59" i="1"/>
  <c r="Q58" i="1"/>
  <c r="P58" i="1"/>
  <c r="O58" i="1"/>
  <c r="C58" i="1"/>
  <c r="Q57" i="1"/>
  <c r="P57" i="1"/>
  <c r="O57" i="1"/>
  <c r="C57" i="1"/>
  <c r="Q56" i="1"/>
  <c r="P56" i="1"/>
  <c r="O56" i="1"/>
  <c r="C56" i="1"/>
  <c r="Q55" i="1"/>
  <c r="P55" i="1"/>
  <c r="O55" i="1"/>
  <c r="C55" i="1"/>
  <c r="Q54" i="1"/>
  <c r="P54" i="1"/>
  <c r="O54" i="1"/>
  <c r="C54" i="1"/>
  <c r="Q53" i="1"/>
  <c r="P53" i="1"/>
  <c r="O53" i="1"/>
  <c r="C53" i="1"/>
  <c r="Q52" i="1"/>
  <c r="P52" i="1"/>
  <c r="O52" i="1"/>
  <c r="C52" i="1"/>
  <c r="Q51" i="1"/>
  <c r="P51" i="1"/>
  <c r="O51" i="1"/>
  <c r="C51" i="1"/>
  <c r="Q50" i="1"/>
  <c r="P50" i="1"/>
  <c r="O50" i="1"/>
  <c r="C50" i="1"/>
  <c r="Q49" i="1"/>
  <c r="P49" i="1"/>
  <c r="O49" i="1"/>
  <c r="C49" i="1"/>
  <c r="Q48" i="1"/>
  <c r="P48" i="1"/>
  <c r="O48" i="1"/>
  <c r="C48" i="1"/>
  <c r="Q47" i="1"/>
  <c r="P47" i="1"/>
  <c r="O47" i="1"/>
  <c r="C47" i="1"/>
  <c r="Q46" i="1"/>
  <c r="P46" i="1"/>
  <c r="O46" i="1"/>
  <c r="C46" i="1"/>
  <c r="Q45" i="1"/>
  <c r="P45" i="1"/>
  <c r="O45" i="1"/>
  <c r="C45" i="1"/>
  <c r="Q44" i="1"/>
  <c r="P44" i="1"/>
  <c r="O44" i="1"/>
  <c r="C44" i="1"/>
  <c r="Q43" i="1"/>
  <c r="P43" i="1"/>
  <c r="O43" i="1"/>
  <c r="C43" i="1"/>
  <c r="Q42" i="1"/>
  <c r="P42" i="1"/>
  <c r="O42" i="1"/>
  <c r="C42" i="1"/>
  <c r="Q41" i="1"/>
  <c r="P41" i="1"/>
  <c r="O41" i="1"/>
  <c r="C41" i="1"/>
  <c r="Q40" i="1"/>
  <c r="P40" i="1"/>
  <c r="O40" i="1"/>
  <c r="C40" i="1"/>
  <c r="Q39" i="1"/>
  <c r="P39" i="1"/>
  <c r="O39" i="1"/>
  <c r="C39" i="1"/>
  <c r="Q38" i="1"/>
  <c r="P38" i="1"/>
  <c r="O38" i="1"/>
  <c r="C38" i="1"/>
  <c r="Q37" i="1"/>
  <c r="P37" i="1"/>
  <c r="O37" i="1"/>
  <c r="C37" i="1"/>
  <c r="Q36" i="1"/>
  <c r="P36" i="1"/>
  <c r="O36" i="1"/>
  <c r="C36" i="1"/>
  <c r="Q35" i="1"/>
  <c r="P35" i="1"/>
  <c r="O35" i="1"/>
  <c r="C35" i="1"/>
  <c r="Q34" i="1"/>
  <c r="P34" i="1"/>
  <c r="O34" i="1"/>
  <c r="C34" i="1"/>
  <c r="Q33" i="1"/>
  <c r="P33" i="1"/>
  <c r="O33" i="1"/>
  <c r="C33" i="1"/>
  <c r="Q32" i="1"/>
  <c r="P32" i="1"/>
  <c r="O32" i="1"/>
  <c r="C32" i="1"/>
  <c r="Q31" i="1"/>
  <c r="P31" i="1"/>
  <c r="O31" i="1"/>
  <c r="C31" i="1"/>
  <c r="Q30" i="1"/>
  <c r="P30" i="1"/>
  <c r="O30" i="1"/>
  <c r="C30" i="1"/>
  <c r="Q29" i="1"/>
  <c r="P29" i="1"/>
  <c r="O29" i="1"/>
  <c r="C29" i="1"/>
  <c r="Q28" i="1"/>
  <c r="P28" i="1"/>
  <c r="O28" i="1"/>
  <c r="C28" i="1"/>
  <c r="Q27" i="1"/>
  <c r="P27" i="1"/>
  <c r="O27" i="1"/>
  <c r="C27" i="1"/>
  <c r="Q26" i="1"/>
  <c r="P26" i="1"/>
  <c r="O26" i="1"/>
  <c r="C26" i="1"/>
  <c r="Q25" i="1"/>
  <c r="P25" i="1"/>
  <c r="O25" i="1"/>
  <c r="C25" i="1"/>
  <c r="Q24" i="1"/>
  <c r="P24" i="1"/>
  <c r="O24" i="1"/>
  <c r="C24" i="1"/>
  <c r="Q23" i="1"/>
  <c r="P23" i="1"/>
  <c r="O23" i="1"/>
  <c r="C23" i="1"/>
  <c r="Q22" i="1"/>
  <c r="P22" i="1"/>
  <c r="O22" i="1"/>
  <c r="C22" i="1"/>
  <c r="Q21" i="1"/>
  <c r="P21" i="1"/>
  <c r="O21" i="1"/>
  <c r="C21" i="1"/>
  <c r="Q20" i="1"/>
  <c r="P20" i="1"/>
  <c r="O20" i="1"/>
  <c r="C20" i="1"/>
  <c r="Q19" i="1"/>
  <c r="P19" i="1"/>
  <c r="O19" i="1"/>
  <c r="C19" i="1"/>
  <c r="Q18" i="1"/>
  <c r="P18" i="1"/>
  <c r="O18" i="1"/>
  <c r="C18" i="1"/>
  <c r="Q17" i="1"/>
  <c r="P17" i="1"/>
  <c r="O17" i="1"/>
  <c r="C17" i="1"/>
  <c r="Q16" i="1"/>
  <c r="P16" i="1"/>
  <c r="O16" i="1"/>
  <c r="C16" i="1"/>
  <c r="Q15" i="1"/>
  <c r="P15" i="1"/>
  <c r="O15" i="1"/>
  <c r="C15" i="1"/>
  <c r="Q14" i="1"/>
  <c r="P14" i="1"/>
  <c r="O14" i="1"/>
  <c r="C14" i="1"/>
  <c r="Q13" i="1"/>
  <c r="P13" i="1"/>
  <c r="O13" i="1"/>
  <c r="C13" i="1"/>
  <c r="Q12" i="1"/>
  <c r="P12" i="1"/>
  <c r="O12" i="1"/>
  <c r="C12" i="1"/>
  <c r="Q11" i="1"/>
  <c r="P11" i="1"/>
  <c r="O11" i="1"/>
  <c r="C11" i="1"/>
  <c r="Q10" i="1"/>
  <c r="P10" i="1"/>
  <c r="O10" i="1"/>
  <c r="C10" i="1"/>
  <c r="Q9" i="1"/>
  <c r="P9" i="1"/>
  <c r="O9" i="1"/>
  <c r="C9" i="1"/>
  <c r="Q8" i="1"/>
  <c r="P8" i="1"/>
  <c r="O8" i="1"/>
  <c r="C8" i="1"/>
  <c r="Q7" i="1"/>
  <c r="P7" i="1"/>
  <c r="O7" i="1"/>
  <c r="C7" i="1"/>
  <c r="Q6" i="1"/>
  <c r="P6" i="1"/>
  <c r="O6" i="1"/>
  <c r="C6" i="1"/>
  <c r="Q5" i="1"/>
  <c r="P5" i="1"/>
  <c r="O5" i="1"/>
  <c r="C5" i="1"/>
  <c r="Q4" i="1"/>
  <c r="P4" i="1"/>
  <c r="O4" i="1"/>
  <c r="C4" i="1"/>
  <c r="Q3" i="1"/>
  <c r="P3" i="1"/>
  <c r="O3" i="1"/>
  <c r="C3" i="1"/>
  <c r="Q2" i="1"/>
  <c r="P2" i="1"/>
  <c r="O2" i="1"/>
  <c r="C2" i="1"/>
</calcChain>
</file>

<file path=xl/sharedStrings.xml><?xml version="1.0" encoding="utf-8"?>
<sst xmlns="http://schemas.openxmlformats.org/spreadsheetml/2006/main" count="362" uniqueCount="64">
  <si>
    <t>Date</t>
  </si>
  <si>
    <t>Year</t>
  </si>
  <si>
    <t>Month</t>
  </si>
  <si>
    <t>Day</t>
  </si>
  <si>
    <t>Region</t>
  </si>
  <si>
    <t>Country</t>
  </si>
  <si>
    <t>Category</t>
  </si>
  <si>
    <t>Medicine</t>
  </si>
  <si>
    <t>Age_group</t>
  </si>
  <si>
    <t>Units_sold</t>
  </si>
  <si>
    <t>Unit_price</t>
  </si>
  <si>
    <t>Stock_level</t>
  </si>
  <si>
    <t>Expiry_days_remaining</t>
  </si>
  <si>
    <t>Covid_flag</t>
  </si>
  <si>
    <t>Revenue</t>
  </si>
  <si>
    <t>Near_Expiry_flag</t>
  </si>
  <si>
    <t>Dead_Inventory_Flag</t>
  </si>
  <si>
    <t>Middle East</t>
  </si>
  <si>
    <t>UAE</t>
  </si>
  <si>
    <t>Chronic</t>
  </si>
  <si>
    <t>Amlodipine</t>
  </si>
  <si>
    <t>0-12</t>
  </si>
  <si>
    <t>South Asia</t>
  </si>
  <si>
    <t>India</t>
  </si>
  <si>
    <t>26-45</t>
  </si>
  <si>
    <t>Vitamin</t>
  </si>
  <si>
    <t>Vitamin C</t>
  </si>
  <si>
    <t>Sri Lanka</t>
  </si>
  <si>
    <t>South America</t>
  </si>
  <si>
    <t>Argentina</t>
  </si>
  <si>
    <t>Metformin</t>
  </si>
  <si>
    <t>Antibiotic</t>
  </si>
  <si>
    <t>Azithromycin</t>
  </si>
  <si>
    <t>65+</t>
  </si>
  <si>
    <t>North America</t>
  </si>
  <si>
    <t>Canada</t>
  </si>
  <si>
    <t>13-25</t>
  </si>
  <si>
    <t>Oceania</t>
  </si>
  <si>
    <t>New Zealand</t>
  </si>
  <si>
    <t>Cough_Cold</t>
  </si>
  <si>
    <t>Cough Syrup</t>
  </si>
  <si>
    <t>46-65</t>
  </si>
  <si>
    <t>Saudi Arabia</t>
  </si>
  <si>
    <t>Africa</t>
  </si>
  <si>
    <t>Nigeria</t>
  </si>
  <si>
    <t>Australia</t>
  </si>
  <si>
    <t>Europe</t>
  </si>
  <si>
    <t>Germany</t>
  </si>
  <si>
    <t>Amoxicillin</t>
  </si>
  <si>
    <t>Antipyretic</t>
  </si>
  <si>
    <t>Paracetamol</t>
  </si>
  <si>
    <t>East Asia</t>
  </si>
  <si>
    <t>China</t>
  </si>
  <si>
    <t>Multivitamin</t>
  </si>
  <si>
    <t>Cetirizine</t>
  </si>
  <si>
    <t>Brazil</t>
  </si>
  <si>
    <t>Japan</t>
  </si>
  <si>
    <t>USA</t>
  </si>
  <si>
    <t>South Korea</t>
  </si>
  <si>
    <t>France</t>
  </si>
  <si>
    <t>UK</t>
  </si>
  <si>
    <t>Ibuprofen</t>
  </si>
  <si>
    <t>Kenya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</si>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</sst>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4" fontId="0" fillId="4" borderId="1" xfId="0" applyNumberFormat="1" applyFill="1" applyBorder="1"/>
    <xf numFmtId="0" fontId="0" fillId="4" borderId="2" xfId="0" applyFill="1" applyBorder="1"/>
    <xf numFmtId="0" fontId="0" fillId="4" borderId="3" xfId="0" applyFill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etha\Desktop\kaggle\Pharma_sales20_25_data.xlsm" TargetMode="External"/><Relationship Id="rId1" Type="http://schemas.openxmlformats.org/officeDocument/2006/relationships/externalLinkPath" Target="Pharma_sales20_25_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d"/>
      <sheetName val="Pivot Analysis"/>
      <sheetName val="pivot+chart"/>
      <sheetName val="Forcasting"/>
      <sheetName val="ANALYSIS"/>
      <sheetName val="Scenario Summary"/>
      <sheetName val="Scenario_analysis"/>
      <sheetName val="PHARMA_SALES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BD6C-5043-4B1B-AA7F-FB48C5242143}">
  <dimension ref="A1:Q70"/>
  <sheetViews>
    <sheetView tabSelected="1" workbookViewId="0">
      <selection activeCell="S9" sqref="S9"/>
    </sheetView>
  </sheetViews>
  <sheetFormatPr defaultRowHeight="14.5" x14ac:dyDescent="0.35"/>
  <cols>
    <col min="1" max="1" width="15.26953125" customWidth="1"/>
    <col min="10" max="10" width="9.81640625" customWidth="1"/>
    <col min="11" max="11" width="10" customWidth="1"/>
    <col min="12" max="12" width="10.6328125" customWidth="1"/>
    <col min="13" max="13" width="14.1796875" customWidth="1"/>
    <col min="14" max="14" width="12.7265625" customWidth="1"/>
    <col min="15" max="15" width="10.90625" customWidth="1"/>
    <col min="16" max="16" width="13.54296875" customWidth="1"/>
    <col min="17" max="17" width="18.1796875" customWidth="1"/>
  </cols>
  <sheetData>
    <row r="1" spans="1:1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</row>
    <row r="2" spans="1:17" x14ac:dyDescent="0.35">
      <c r="A2" s="5">
        <v>45942</v>
      </c>
      <c r="B2" s="6">
        <v>2025</v>
      </c>
      <c r="C2" s="6" t="str">
        <f>TEXT([1]!kaggle[[#This Row],[Date]],"mmm")</f>
        <v>Oct</v>
      </c>
      <c r="D2" s="6">
        <v>12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>
        <v>328</v>
      </c>
      <c r="K2" s="6">
        <v>45.38</v>
      </c>
      <c r="L2" s="6">
        <v>4774</v>
      </c>
      <c r="M2" s="6">
        <v>466</v>
      </c>
      <c r="N2" s="6">
        <v>0</v>
      </c>
      <c r="O2" s="6">
        <f>[1]!kaggle[[#This Row],[Units_sold]]*[1]!kaggle[[#This Row],[Unit_price]]</f>
        <v>14884.640000000001</v>
      </c>
      <c r="P2" s="6" t="str">
        <f>IF([1]!kaggle[[#This Row],[Expiry_days_remaining]]&lt;100,"High_Risk","Safe")</f>
        <v>Safe</v>
      </c>
      <c r="Q2" s="7" t="str">
        <f>IF([1]!kaggle[[#This Row],[Stock_level]]=0,"Dead","Active")</f>
        <v>Active</v>
      </c>
    </row>
    <row r="3" spans="1:17" x14ac:dyDescent="0.35">
      <c r="A3" s="8">
        <v>44089</v>
      </c>
      <c r="B3" s="9">
        <v>2020</v>
      </c>
      <c r="C3" s="9" t="str">
        <f>TEXT([1]!kaggle[[#This Row],[Date]],"mmm")</f>
        <v>Sep</v>
      </c>
      <c r="D3" s="9">
        <v>15</v>
      </c>
      <c r="E3" s="9" t="s">
        <v>22</v>
      </c>
      <c r="F3" s="9" t="s">
        <v>23</v>
      </c>
      <c r="G3" s="9" t="s">
        <v>19</v>
      </c>
      <c r="H3" s="9" t="s">
        <v>20</v>
      </c>
      <c r="I3" s="9" t="s">
        <v>24</v>
      </c>
      <c r="J3" s="9">
        <v>371</v>
      </c>
      <c r="K3" s="9">
        <v>75.489999999999995</v>
      </c>
      <c r="L3" s="9">
        <v>4584</v>
      </c>
      <c r="M3" s="9">
        <v>181</v>
      </c>
      <c r="N3" s="9">
        <v>1</v>
      </c>
      <c r="O3" s="9">
        <f>[1]!kaggle[[#This Row],[Units_sold]]*[1]!kaggle[[#This Row],[Unit_price]]</f>
        <v>28006.789999999997</v>
      </c>
      <c r="P3" s="9" t="str">
        <f>IF([1]!kaggle[[#This Row],[Expiry_days_remaining]]&lt;100,"High_Risk","Safe")</f>
        <v>Safe</v>
      </c>
      <c r="Q3" s="10" t="str">
        <f>IF([1]!kaggle[[#This Row],[Stock_level]]=0,"Dead","Active")</f>
        <v>Active</v>
      </c>
    </row>
    <row r="4" spans="1:17" x14ac:dyDescent="0.35">
      <c r="A4" s="5">
        <v>43887</v>
      </c>
      <c r="B4" s="6">
        <v>2020</v>
      </c>
      <c r="C4" s="6" t="str">
        <f>TEXT([1]!kaggle[[#This Row],[Date]],"mmm")</f>
        <v>Feb</v>
      </c>
      <c r="D4" s="6">
        <v>26</v>
      </c>
      <c r="E4" s="6" t="s">
        <v>17</v>
      </c>
      <c r="F4" s="6" t="s">
        <v>18</v>
      </c>
      <c r="G4" s="6" t="s">
        <v>25</v>
      </c>
      <c r="H4" s="6" t="s">
        <v>26</v>
      </c>
      <c r="I4" s="6" t="s">
        <v>21</v>
      </c>
      <c r="J4" s="6">
        <v>948</v>
      </c>
      <c r="K4" s="6">
        <v>22.51</v>
      </c>
      <c r="L4" s="6">
        <v>3934</v>
      </c>
      <c r="M4" s="6">
        <v>556</v>
      </c>
      <c r="N4" s="6">
        <v>1</v>
      </c>
      <c r="O4" s="6">
        <f>[1]!kaggle[[#This Row],[Units_sold]]*[1]!kaggle[[#This Row],[Unit_price]]</f>
        <v>21339.480000000003</v>
      </c>
      <c r="P4" s="6" t="str">
        <f>IF([1]!kaggle[[#This Row],[Expiry_days_remaining]]&lt;100,"High_Risk","Safe")</f>
        <v>Safe</v>
      </c>
      <c r="Q4" s="7" t="str">
        <f>IF([1]!kaggle[[#This Row],[Stock_level]]=0,"Dead","Active")</f>
        <v>Active</v>
      </c>
    </row>
    <row r="5" spans="1:17" x14ac:dyDescent="0.35">
      <c r="A5" s="8">
        <v>45970</v>
      </c>
      <c r="B5" s="9">
        <v>2025</v>
      </c>
      <c r="C5" s="9" t="str">
        <f>TEXT([1]!kaggle[[#This Row],[Date]],"mmm")</f>
        <v>Nov</v>
      </c>
      <c r="D5" s="9">
        <v>9</v>
      </c>
      <c r="E5" s="9" t="s">
        <v>22</v>
      </c>
      <c r="F5" s="9" t="s">
        <v>27</v>
      </c>
      <c r="G5" s="9" t="s">
        <v>19</v>
      </c>
      <c r="H5" s="9" t="s">
        <v>20</v>
      </c>
      <c r="I5" s="9" t="s">
        <v>21</v>
      </c>
      <c r="J5" s="9">
        <v>275</v>
      </c>
      <c r="K5" s="9">
        <v>63.29</v>
      </c>
      <c r="L5" s="9">
        <v>4544</v>
      </c>
      <c r="M5" s="9">
        <v>330</v>
      </c>
      <c r="N5" s="9">
        <v>0</v>
      </c>
      <c r="O5" s="9">
        <f>[1]!kaggle[[#This Row],[Units_sold]]*[1]!kaggle[[#This Row],[Unit_price]]</f>
        <v>17404.75</v>
      </c>
      <c r="P5" s="9" t="str">
        <f>IF([1]!kaggle[[#This Row],[Expiry_days_remaining]]&lt;100,"High_Risk","Safe")</f>
        <v>Safe</v>
      </c>
      <c r="Q5" s="10" t="str">
        <f>IF([1]!kaggle[[#This Row],[Stock_level]]=0,"Dead","Active")</f>
        <v>Active</v>
      </c>
    </row>
    <row r="6" spans="1:17" x14ac:dyDescent="0.35">
      <c r="A6" s="5">
        <v>44655</v>
      </c>
      <c r="B6" s="6">
        <v>2022</v>
      </c>
      <c r="C6" s="6" t="str">
        <f>TEXT([1]!kaggle[[#This Row],[Date]],"mmm")</f>
        <v>Apr</v>
      </c>
      <c r="D6" s="6">
        <v>4</v>
      </c>
      <c r="E6" s="6" t="s">
        <v>28</v>
      </c>
      <c r="F6" s="6" t="s">
        <v>29</v>
      </c>
      <c r="G6" s="6" t="s">
        <v>19</v>
      </c>
      <c r="H6" s="6" t="s">
        <v>20</v>
      </c>
      <c r="I6" s="6" t="s">
        <v>24</v>
      </c>
      <c r="J6" s="6">
        <v>563</v>
      </c>
      <c r="K6" s="6">
        <v>44.28</v>
      </c>
      <c r="L6" s="6">
        <v>4284</v>
      </c>
      <c r="M6" s="6">
        <v>590</v>
      </c>
      <c r="N6" s="6">
        <v>0</v>
      </c>
      <c r="O6" s="6">
        <f>[1]!kaggle[[#This Row],[Units_sold]]*[1]!kaggle[[#This Row],[Unit_price]]</f>
        <v>24929.64</v>
      </c>
      <c r="P6" s="6" t="str">
        <f>IF([1]!kaggle[[#This Row],[Expiry_days_remaining]]&lt;100,"High_Risk","Safe")</f>
        <v>Safe</v>
      </c>
      <c r="Q6" s="7" t="str">
        <f>IF([1]!kaggle[[#This Row],[Stock_level]]=0,"Dead","Active")</f>
        <v>Active</v>
      </c>
    </row>
    <row r="7" spans="1:17" x14ac:dyDescent="0.35">
      <c r="A7" s="8">
        <v>44246</v>
      </c>
      <c r="B7" s="9">
        <v>2021</v>
      </c>
      <c r="C7" s="9" t="str">
        <f>TEXT([1]!kaggle[[#This Row],[Date]],"mmm")</f>
        <v>Feb</v>
      </c>
      <c r="D7" s="9">
        <v>19</v>
      </c>
      <c r="E7" s="9" t="s">
        <v>28</v>
      </c>
      <c r="F7" s="9" t="s">
        <v>29</v>
      </c>
      <c r="G7" s="9" t="s">
        <v>19</v>
      </c>
      <c r="H7" s="9" t="s">
        <v>30</v>
      </c>
      <c r="I7" s="9" t="s">
        <v>24</v>
      </c>
      <c r="J7" s="9">
        <v>642</v>
      </c>
      <c r="K7" s="9">
        <v>80.61</v>
      </c>
      <c r="L7" s="9">
        <v>4372</v>
      </c>
      <c r="M7" s="9">
        <v>108</v>
      </c>
      <c r="N7" s="9">
        <v>1</v>
      </c>
      <c r="O7" s="9">
        <f>[1]!kaggle[[#This Row],[Units_sold]]*[1]!kaggle[[#This Row],[Unit_price]]</f>
        <v>51751.62</v>
      </c>
      <c r="P7" s="9" t="str">
        <f>IF([1]!kaggle[[#This Row],[Expiry_days_remaining]]&lt;100,"High_Risk","Safe")</f>
        <v>Safe</v>
      </c>
      <c r="Q7" s="10" t="str">
        <f>IF([1]!kaggle[[#This Row],[Stock_level]]=0,"Dead","Active")</f>
        <v>Active</v>
      </c>
    </row>
    <row r="8" spans="1:17" x14ac:dyDescent="0.35">
      <c r="A8" s="5">
        <v>45151</v>
      </c>
      <c r="B8" s="6">
        <v>2023</v>
      </c>
      <c r="C8" s="6" t="str">
        <f>TEXT([1]!kaggle[[#This Row],[Date]],"mmm")</f>
        <v>Aug</v>
      </c>
      <c r="D8" s="6">
        <v>13</v>
      </c>
      <c r="E8" s="6" t="s">
        <v>28</v>
      </c>
      <c r="F8" s="6" t="s">
        <v>29</v>
      </c>
      <c r="G8" s="6" t="s">
        <v>31</v>
      </c>
      <c r="H8" s="6" t="s">
        <v>32</v>
      </c>
      <c r="I8" s="6" t="s">
        <v>33</v>
      </c>
      <c r="J8" s="6">
        <v>243</v>
      </c>
      <c r="K8" s="6">
        <v>15.81</v>
      </c>
      <c r="L8" s="6">
        <v>4701</v>
      </c>
      <c r="M8" s="6">
        <v>221</v>
      </c>
      <c r="N8" s="6">
        <v>0</v>
      </c>
      <c r="O8" s="6">
        <f>[1]!kaggle[[#This Row],[Units_sold]]*[1]!kaggle[[#This Row],[Unit_price]]</f>
        <v>3841.83</v>
      </c>
      <c r="P8" s="6" t="str">
        <f>IF([1]!kaggle[[#This Row],[Expiry_days_remaining]]&lt;100,"High_Risk","Safe")</f>
        <v>Safe</v>
      </c>
      <c r="Q8" s="7" t="str">
        <f>IF([1]!kaggle[[#This Row],[Stock_level]]=0,"Dead","Active")</f>
        <v>Active</v>
      </c>
    </row>
    <row r="9" spans="1:17" x14ac:dyDescent="0.35">
      <c r="A9" s="8">
        <v>45067</v>
      </c>
      <c r="B9" s="9">
        <v>2023</v>
      </c>
      <c r="C9" s="9" t="str">
        <f>TEXT([1]!kaggle[[#This Row],[Date]],"mmm")</f>
        <v>May</v>
      </c>
      <c r="D9" s="9">
        <v>21</v>
      </c>
      <c r="E9" s="9" t="s">
        <v>34</v>
      </c>
      <c r="F9" s="9" t="s">
        <v>35</v>
      </c>
      <c r="G9" s="9" t="s">
        <v>19</v>
      </c>
      <c r="H9" s="9" t="s">
        <v>30</v>
      </c>
      <c r="I9" s="9" t="s">
        <v>36</v>
      </c>
      <c r="J9" s="9">
        <v>273</v>
      </c>
      <c r="K9" s="9">
        <v>50.79</v>
      </c>
      <c r="L9" s="9">
        <v>4613</v>
      </c>
      <c r="M9" s="9">
        <v>362</v>
      </c>
      <c r="N9" s="9">
        <v>0</v>
      </c>
      <c r="O9" s="9">
        <f>[1]!kaggle[[#This Row],[Units_sold]]*[1]!kaggle[[#This Row],[Unit_price]]</f>
        <v>13865.67</v>
      </c>
      <c r="P9" s="9" t="str">
        <f>IF([1]!kaggle[[#This Row],[Expiry_days_remaining]]&lt;100,"High_Risk","Safe")</f>
        <v>Safe</v>
      </c>
      <c r="Q9" s="10" t="str">
        <f>IF([1]!kaggle[[#This Row],[Stock_level]]=0,"Dead","Active")</f>
        <v>Active</v>
      </c>
    </row>
    <row r="10" spans="1:17" x14ac:dyDescent="0.35">
      <c r="A10" s="5">
        <v>45517</v>
      </c>
      <c r="B10" s="6">
        <v>2024</v>
      </c>
      <c r="C10" s="6" t="str">
        <f>TEXT([1]!kaggle[[#This Row],[Date]],"mmm")</f>
        <v>Aug</v>
      </c>
      <c r="D10" s="6">
        <v>13</v>
      </c>
      <c r="E10" s="6" t="s">
        <v>37</v>
      </c>
      <c r="F10" s="6" t="s">
        <v>38</v>
      </c>
      <c r="G10" s="6" t="s">
        <v>39</v>
      </c>
      <c r="H10" s="6" t="s">
        <v>40</v>
      </c>
      <c r="I10" s="6" t="s">
        <v>41</v>
      </c>
      <c r="J10" s="6">
        <v>223</v>
      </c>
      <c r="K10" s="6">
        <v>90.92</v>
      </c>
      <c r="L10" s="6">
        <v>4757</v>
      </c>
      <c r="M10" s="6">
        <v>621</v>
      </c>
      <c r="N10" s="6">
        <v>0</v>
      </c>
      <c r="O10" s="6">
        <f>[1]!kaggle[[#This Row],[Units_sold]]*[1]!kaggle[[#This Row],[Unit_price]]</f>
        <v>20275.16</v>
      </c>
      <c r="P10" s="6" t="str">
        <f>IF([1]!kaggle[[#This Row],[Expiry_days_remaining]]&lt;100,"High_Risk","Safe")</f>
        <v>Safe</v>
      </c>
      <c r="Q10" s="7" t="str">
        <f>IF([1]!kaggle[[#This Row],[Stock_level]]=0,"Dead","Active")</f>
        <v>Active</v>
      </c>
    </row>
    <row r="11" spans="1:17" x14ac:dyDescent="0.35">
      <c r="A11" s="8">
        <v>44869</v>
      </c>
      <c r="B11" s="9">
        <v>2022</v>
      </c>
      <c r="C11" s="9" t="str">
        <f>TEXT([1]!kaggle[[#This Row],[Date]],"mmm")</f>
        <v>Nov</v>
      </c>
      <c r="D11" s="9">
        <v>4</v>
      </c>
      <c r="E11" s="9" t="s">
        <v>22</v>
      </c>
      <c r="F11" s="9" t="s">
        <v>23</v>
      </c>
      <c r="G11" s="9" t="s">
        <v>19</v>
      </c>
      <c r="H11" s="9" t="s">
        <v>20</v>
      </c>
      <c r="I11" s="9" t="s">
        <v>33</v>
      </c>
      <c r="J11" s="9">
        <v>369</v>
      </c>
      <c r="K11" s="9">
        <v>68.47</v>
      </c>
      <c r="L11" s="9">
        <v>4524</v>
      </c>
      <c r="M11" s="9">
        <v>174</v>
      </c>
      <c r="N11" s="9">
        <v>0</v>
      </c>
      <c r="O11" s="9">
        <f>[1]!kaggle[[#This Row],[Units_sold]]*[1]!kaggle[[#This Row],[Unit_price]]</f>
        <v>25265.43</v>
      </c>
      <c r="P11" s="9" t="str">
        <f>IF([1]!kaggle[[#This Row],[Expiry_days_remaining]]&lt;100,"High_Risk","Safe")</f>
        <v>Safe</v>
      </c>
      <c r="Q11" s="10" t="str">
        <f>IF([1]!kaggle[[#This Row],[Stock_level]]=0,"Dead","Active")</f>
        <v>Active</v>
      </c>
    </row>
    <row r="12" spans="1:17" x14ac:dyDescent="0.35">
      <c r="A12" s="5">
        <v>45219</v>
      </c>
      <c r="B12" s="6">
        <v>2023</v>
      </c>
      <c r="C12" s="6" t="str">
        <f>TEXT([1]!kaggle[[#This Row],[Date]],"mmm")</f>
        <v>Oct</v>
      </c>
      <c r="D12" s="6">
        <v>20</v>
      </c>
      <c r="E12" s="6" t="s">
        <v>17</v>
      </c>
      <c r="F12" s="6" t="s">
        <v>42</v>
      </c>
      <c r="G12" s="6" t="s">
        <v>31</v>
      </c>
      <c r="H12" s="6" t="s">
        <v>32</v>
      </c>
      <c r="I12" s="6" t="s">
        <v>36</v>
      </c>
      <c r="J12" s="6">
        <v>130</v>
      </c>
      <c r="K12" s="6">
        <v>76.03</v>
      </c>
      <c r="L12" s="6">
        <v>4976</v>
      </c>
      <c r="M12" s="6">
        <v>319</v>
      </c>
      <c r="N12" s="6">
        <v>0</v>
      </c>
      <c r="O12" s="6">
        <f>[1]!kaggle[[#This Row],[Units_sold]]*[1]!kaggle[[#This Row],[Unit_price]]</f>
        <v>9883.9</v>
      </c>
      <c r="P12" s="6" t="str">
        <f>IF([1]!kaggle[[#This Row],[Expiry_days_remaining]]&lt;100,"High_Risk","Safe")</f>
        <v>Safe</v>
      </c>
      <c r="Q12" s="7" t="str">
        <f>IF([1]!kaggle[[#This Row],[Stock_level]]=0,"Dead","Active")</f>
        <v>Active</v>
      </c>
    </row>
    <row r="13" spans="1:17" x14ac:dyDescent="0.35">
      <c r="A13" s="8">
        <v>46017</v>
      </c>
      <c r="B13" s="9">
        <v>2025</v>
      </c>
      <c r="C13" s="9" t="str">
        <f>TEXT([1]!kaggle[[#This Row],[Date]],"mmm")</f>
        <v>Dec</v>
      </c>
      <c r="D13" s="9">
        <v>26</v>
      </c>
      <c r="E13" s="9" t="s">
        <v>43</v>
      </c>
      <c r="F13" s="9" t="s">
        <v>44</v>
      </c>
      <c r="G13" s="9" t="s">
        <v>19</v>
      </c>
      <c r="H13" s="9" t="s">
        <v>20</v>
      </c>
      <c r="I13" s="9" t="s">
        <v>41</v>
      </c>
      <c r="J13" s="9">
        <v>265</v>
      </c>
      <c r="K13" s="9">
        <v>52.64</v>
      </c>
      <c r="L13" s="9">
        <v>4562</v>
      </c>
      <c r="M13" s="9">
        <v>424</v>
      </c>
      <c r="N13" s="9">
        <v>0</v>
      </c>
      <c r="O13" s="9">
        <f>[1]!kaggle[[#This Row],[Units_sold]]*[1]!kaggle[[#This Row],[Unit_price]]</f>
        <v>13949.6</v>
      </c>
      <c r="P13" s="9" t="str">
        <f>IF([1]!kaggle[[#This Row],[Expiry_days_remaining]]&lt;100,"High_Risk","Safe")</f>
        <v>Safe</v>
      </c>
      <c r="Q13" s="10" t="str">
        <f>IF([1]!kaggle[[#This Row],[Stock_level]]=0,"Dead","Active")</f>
        <v>Active</v>
      </c>
    </row>
    <row r="14" spans="1:17" x14ac:dyDescent="0.35">
      <c r="A14" s="5">
        <v>45617</v>
      </c>
      <c r="B14" s="6">
        <v>2024</v>
      </c>
      <c r="C14" s="6" t="str">
        <f>TEXT([1]!kaggle[[#This Row],[Date]],"mmm")</f>
        <v>Nov</v>
      </c>
      <c r="D14" s="6">
        <v>21</v>
      </c>
      <c r="E14" s="6" t="s">
        <v>34</v>
      </c>
      <c r="F14" s="6" t="s">
        <v>35</v>
      </c>
      <c r="G14" s="6" t="s">
        <v>31</v>
      </c>
      <c r="H14" s="6" t="s">
        <v>32</v>
      </c>
      <c r="I14" s="6" t="s">
        <v>21</v>
      </c>
      <c r="J14" s="6">
        <v>294</v>
      </c>
      <c r="K14" s="6">
        <v>86.02</v>
      </c>
      <c r="L14" s="6">
        <v>4663</v>
      </c>
      <c r="M14" s="6">
        <v>523</v>
      </c>
      <c r="N14" s="6">
        <v>0</v>
      </c>
      <c r="O14" s="6">
        <f>[1]!kaggle[[#This Row],[Units_sold]]*[1]!kaggle[[#This Row],[Unit_price]]</f>
        <v>25289.879999999997</v>
      </c>
      <c r="P14" s="6" t="str">
        <f>IF([1]!kaggle[[#This Row],[Expiry_days_remaining]]&lt;100,"High_Risk","Safe")</f>
        <v>Safe</v>
      </c>
      <c r="Q14" s="7" t="str">
        <f>IF([1]!kaggle[[#This Row],[Stock_level]]=0,"Dead","Active")</f>
        <v>Active</v>
      </c>
    </row>
    <row r="15" spans="1:17" x14ac:dyDescent="0.35">
      <c r="A15" s="8">
        <v>44781</v>
      </c>
      <c r="B15" s="9">
        <v>2022</v>
      </c>
      <c r="C15" s="9" t="str">
        <f>TEXT([1]!kaggle[[#This Row],[Date]],"mmm")</f>
        <v>Aug</v>
      </c>
      <c r="D15" s="9">
        <v>8</v>
      </c>
      <c r="E15" s="9" t="s">
        <v>43</v>
      </c>
      <c r="F15" s="9" t="s">
        <v>44</v>
      </c>
      <c r="G15" s="9" t="s">
        <v>19</v>
      </c>
      <c r="H15" s="9" t="s">
        <v>20</v>
      </c>
      <c r="I15" s="9" t="s">
        <v>24</v>
      </c>
      <c r="J15" s="9">
        <v>265</v>
      </c>
      <c r="K15" s="9">
        <v>73.48</v>
      </c>
      <c r="L15" s="9">
        <v>4596</v>
      </c>
      <c r="M15" s="9">
        <v>242</v>
      </c>
      <c r="N15" s="9">
        <v>0</v>
      </c>
      <c r="O15" s="9">
        <f>[1]!kaggle[[#This Row],[Units_sold]]*[1]!kaggle[[#This Row],[Unit_price]]</f>
        <v>19472.2</v>
      </c>
      <c r="P15" s="9" t="str">
        <f>IF([1]!kaggle[[#This Row],[Expiry_days_remaining]]&lt;100,"High_Risk","Safe")</f>
        <v>Safe</v>
      </c>
      <c r="Q15" s="10" t="str">
        <f>IF([1]!kaggle[[#This Row],[Stock_level]]=0,"Dead","Active")</f>
        <v>Active</v>
      </c>
    </row>
    <row r="16" spans="1:17" x14ac:dyDescent="0.35">
      <c r="A16" s="5">
        <v>43963</v>
      </c>
      <c r="B16" s="6">
        <v>2020</v>
      </c>
      <c r="C16" s="6" t="str">
        <f>TEXT([1]!kaggle[[#This Row],[Date]],"mmm")</f>
        <v>May</v>
      </c>
      <c r="D16" s="6">
        <v>12</v>
      </c>
      <c r="E16" s="6" t="s">
        <v>43</v>
      </c>
      <c r="F16" s="6" t="s">
        <v>44</v>
      </c>
      <c r="G16" s="6" t="s">
        <v>25</v>
      </c>
      <c r="H16" s="6" t="s">
        <v>26</v>
      </c>
      <c r="I16" s="6" t="s">
        <v>36</v>
      </c>
      <c r="J16" s="6">
        <v>873</v>
      </c>
      <c r="K16" s="6">
        <v>67.849999999999994</v>
      </c>
      <c r="L16" s="6">
        <v>4301</v>
      </c>
      <c r="M16" s="6">
        <v>226</v>
      </c>
      <c r="N16" s="6">
        <v>1</v>
      </c>
      <c r="O16" s="6">
        <f>[1]!kaggle[[#This Row],[Units_sold]]*[1]!kaggle[[#This Row],[Unit_price]]</f>
        <v>59233.049999999996</v>
      </c>
      <c r="P16" s="6" t="str">
        <f>IF([1]!kaggle[[#This Row],[Expiry_days_remaining]]&lt;100,"High_Risk","Safe")</f>
        <v>Safe</v>
      </c>
      <c r="Q16" s="7" t="str">
        <f>IF([1]!kaggle[[#This Row],[Stock_level]]=0,"Dead","Active")</f>
        <v>Active</v>
      </c>
    </row>
    <row r="17" spans="1:17" x14ac:dyDescent="0.35">
      <c r="A17" s="8">
        <v>44144</v>
      </c>
      <c r="B17" s="9">
        <v>2020</v>
      </c>
      <c r="C17" s="9" t="str">
        <f>TEXT([1]!kaggle[[#This Row],[Date]],"mmm")</f>
        <v>Nov</v>
      </c>
      <c r="D17" s="9">
        <v>9</v>
      </c>
      <c r="E17" s="9" t="s">
        <v>37</v>
      </c>
      <c r="F17" s="9" t="s">
        <v>45</v>
      </c>
      <c r="G17" s="9" t="s">
        <v>25</v>
      </c>
      <c r="H17" s="9" t="s">
        <v>26</v>
      </c>
      <c r="I17" s="9" t="s">
        <v>24</v>
      </c>
      <c r="J17" s="9">
        <v>402</v>
      </c>
      <c r="K17" s="9">
        <v>86.18</v>
      </c>
      <c r="L17" s="9">
        <v>4797</v>
      </c>
      <c r="M17" s="9">
        <v>131</v>
      </c>
      <c r="N17" s="9">
        <v>1</v>
      </c>
      <c r="O17" s="9">
        <f>[1]!kaggle[[#This Row],[Units_sold]]*[1]!kaggle[[#This Row],[Unit_price]]</f>
        <v>34644.36</v>
      </c>
      <c r="P17" s="9" t="str">
        <f>IF([1]!kaggle[[#This Row],[Expiry_days_remaining]]&lt;100,"High_Risk","Safe")</f>
        <v>Safe</v>
      </c>
      <c r="Q17" s="10" t="str">
        <f>IF([1]!kaggle[[#This Row],[Stock_level]]=0,"Dead","Active")</f>
        <v>Active</v>
      </c>
    </row>
    <row r="18" spans="1:17" x14ac:dyDescent="0.35">
      <c r="A18" s="5">
        <v>46011</v>
      </c>
      <c r="B18" s="6">
        <v>2025</v>
      </c>
      <c r="C18" s="6" t="str">
        <f>TEXT([1]!kaggle[[#This Row],[Date]],"mmm")</f>
        <v>Dec</v>
      </c>
      <c r="D18" s="6">
        <v>20</v>
      </c>
      <c r="E18" s="6" t="s">
        <v>46</v>
      </c>
      <c r="F18" s="6" t="s">
        <v>47</v>
      </c>
      <c r="G18" s="6" t="s">
        <v>31</v>
      </c>
      <c r="H18" s="6" t="s">
        <v>48</v>
      </c>
      <c r="I18" s="6" t="s">
        <v>41</v>
      </c>
      <c r="J18" s="6">
        <v>330</v>
      </c>
      <c r="K18" s="6">
        <v>82.88</v>
      </c>
      <c r="L18" s="6">
        <v>4678</v>
      </c>
      <c r="M18" s="6">
        <v>678</v>
      </c>
      <c r="N18" s="6">
        <v>0</v>
      </c>
      <c r="O18" s="6">
        <f>[1]!kaggle[[#This Row],[Units_sold]]*[1]!kaggle[[#This Row],[Unit_price]]</f>
        <v>27350.399999999998</v>
      </c>
      <c r="P18" s="6" t="str">
        <f>IF([1]!kaggle[[#This Row],[Expiry_days_remaining]]&lt;100,"High_Risk","Safe")</f>
        <v>Safe</v>
      </c>
      <c r="Q18" s="7" t="str">
        <f>IF([1]!kaggle[[#This Row],[Stock_level]]=0,"Dead","Active")</f>
        <v>Active</v>
      </c>
    </row>
    <row r="19" spans="1:17" x14ac:dyDescent="0.35">
      <c r="A19" s="8">
        <v>44949</v>
      </c>
      <c r="B19" s="9">
        <v>2023</v>
      </c>
      <c r="C19" s="9" t="str">
        <f>TEXT([1]!kaggle[[#This Row],[Date]],"mmm")</f>
        <v>Jan</v>
      </c>
      <c r="D19" s="9">
        <v>23</v>
      </c>
      <c r="E19" s="9" t="s">
        <v>43</v>
      </c>
      <c r="F19" s="9" t="s">
        <v>44</v>
      </c>
      <c r="G19" s="9" t="s">
        <v>25</v>
      </c>
      <c r="H19" s="9" t="s">
        <v>26</v>
      </c>
      <c r="I19" s="9" t="s">
        <v>36</v>
      </c>
      <c r="J19" s="9">
        <v>585</v>
      </c>
      <c r="K19" s="9">
        <v>62.36</v>
      </c>
      <c r="L19" s="9">
        <v>4469</v>
      </c>
      <c r="M19" s="9">
        <v>111</v>
      </c>
      <c r="N19" s="9">
        <v>0</v>
      </c>
      <c r="O19" s="9">
        <f>[1]!kaggle[[#This Row],[Units_sold]]*[1]!kaggle[[#This Row],[Unit_price]]</f>
        <v>36480.6</v>
      </c>
      <c r="P19" s="9" t="str">
        <f>IF([1]!kaggle[[#This Row],[Expiry_days_remaining]]&lt;100,"High_Risk","Safe")</f>
        <v>Safe</v>
      </c>
      <c r="Q19" s="10" t="str">
        <f>IF([1]!kaggle[[#This Row],[Stock_level]]=0,"Dead","Active")</f>
        <v>Active</v>
      </c>
    </row>
    <row r="20" spans="1:17" x14ac:dyDescent="0.35">
      <c r="A20" s="5">
        <v>45342</v>
      </c>
      <c r="B20" s="6">
        <v>2024</v>
      </c>
      <c r="C20" s="6" t="str">
        <f>TEXT([1]!kaggle[[#This Row],[Date]],"mmm")</f>
        <v>Feb</v>
      </c>
      <c r="D20" s="6">
        <v>20</v>
      </c>
      <c r="E20" s="6" t="s">
        <v>43</v>
      </c>
      <c r="F20" s="6" t="s">
        <v>44</v>
      </c>
      <c r="G20" s="6" t="s">
        <v>49</v>
      </c>
      <c r="H20" s="6" t="s">
        <v>50</v>
      </c>
      <c r="I20" s="6" t="s">
        <v>36</v>
      </c>
      <c r="J20" s="6">
        <v>386</v>
      </c>
      <c r="K20" s="6">
        <v>24.32</v>
      </c>
      <c r="L20" s="6">
        <v>4753</v>
      </c>
      <c r="M20" s="6">
        <v>309</v>
      </c>
      <c r="N20" s="6">
        <v>0</v>
      </c>
      <c r="O20" s="6">
        <f>[1]!kaggle[[#This Row],[Units_sold]]*[1]!kaggle[[#This Row],[Unit_price]]</f>
        <v>9387.52</v>
      </c>
      <c r="P20" s="6" t="str">
        <f>IF([1]!kaggle[[#This Row],[Expiry_days_remaining]]&lt;100,"High_Risk","Safe")</f>
        <v>Safe</v>
      </c>
      <c r="Q20" s="7" t="str">
        <f>IF([1]!kaggle[[#This Row],[Stock_level]]=0,"Dead","Active")</f>
        <v>Active</v>
      </c>
    </row>
    <row r="21" spans="1:17" x14ac:dyDescent="0.35">
      <c r="A21" s="8">
        <v>44775</v>
      </c>
      <c r="B21" s="9">
        <v>2022</v>
      </c>
      <c r="C21" s="9" t="str">
        <f>TEXT([1]!kaggle[[#This Row],[Date]],"mmm")</f>
        <v>Aug</v>
      </c>
      <c r="D21" s="9">
        <v>2</v>
      </c>
      <c r="E21" s="9" t="s">
        <v>51</v>
      </c>
      <c r="F21" s="9" t="s">
        <v>52</v>
      </c>
      <c r="G21" s="9" t="s">
        <v>25</v>
      </c>
      <c r="H21" s="9" t="s">
        <v>53</v>
      </c>
      <c r="I21" s="9" t="s">
        <v>36</v>
      </c>
      <c r="J21" s="9">
        <v>178</v>
      </c>
      <c r="K21" s="9">
        <v>55.55</v>
      </c>
      <c r="L21" s="9">
        <v>4881</v>
      </c>
      <c r="M21" s="9">
        <v>167</v>
      </c>
      <c r="N21" s="9">
        <v>0</v>
      </c>
      <c r="O21" s="9">
        <f>[1]!kaggle[[#This Row],[Units_sold]]*[1]!kaggle[[#This Row],[Unit_price]]</f>
        <v>9887.9</v>
      </c>
      <c r="P21" s="9" t="str">
        <f>IF([1]!kaggle[[#This Row],[Expiry_days_remaining]]&lt;100,"High_Risk","Safe")</f>
        <v>Safe</v>
      </c>
      <c r="Q21" s="10" t="str">
        <f>IF([1]!kaggle[[#This Row],[Stock_level]]=0,"Dead","Active")</f>
        <v>Active</v>
      </c>
    </row>
    <row r="22" spans="1:17" x14ac:dyDescent="0.35">
      <c r="A22" s="5">
        <v>45613</v>
      </c>
      <c r="B22" s="6">
        <v>2024</v>
      </c>
      <c r="C22" s="6" t="str">
        <f>TEXT([1]!kaggle[[#This Row],[Date]],"mmm")</f>
        <v>Nov</v>
      </c>
      <c r="D22" s="6">
        <v>17</v>
      </c>
      <c r="E22" s="6" t="s">
        <v>17</v>
      </c>
      <c r="F22" s="6" t="s">
        <v>18</v>
      </c>
      <c r="G22" s="6" t="s">
        <v>39</v>
      </c>
      <c r="H22" s="6" t="s">
        <v>54</v>
      </c>
      <c r="I22" s="6" t="s">
        <v>36</v>
      </c>
      <c r="J22" s="6">
        <v>271</v>
      </c>
      <c r="K22" s="6">
        <v>73.02</v>
      </c>
      <c r="L22" s="6">
        <v>4736</v>
      </c>
      <c r="M22" s="6">
        <v>503</v>
      </c>
      <c r="N22" s="6">
        <v>0</v>
      </c>
      <c r="O22" s="6">
        <f>[1]!kaggle[[#This Row],[Units_sold]]*[1]!kaggle[[#This Row],[Unit_price]]</f>
        <v>19788.419999999998</v>
      </c>
      <c r="P22" s="6" t="str">
        <f>IF([1]!kaggle[[#This Row],[Expiry_days_remaining]]&lt;100,"High_Risk","Safe")</f>
        <v>Safe</v>
      </c>
      <c r="Q22" s="7" t="str">
        <f>IF([1]!kaggle[[#This Row],[Stock_level]]=0,"Dead","Active")</f>
        <v>Active</v>
      </c>
    </row>
    <row r="23" spans="1:17" x14ac:dyDescent="0.35">
      <c r="A23" s="8">
        <v>45851</v>
      </c>
      <c r="B23" s="9">
        <v>2025</v>
      </c>
      <c r="C23" s="9" t="str">
        <f>TEXT([1]!kaggle[[#This Row],[Date]],"mmm")</f>
        <v>Jul</v>
      </c>
      <c r="D23" s="9">
        <v>13</v>
      </c>
      <c r="E23" s="9" t="s">
        <v>28</v>
      </c>
      <c r="F23" s="9" t="s">
        <v>55</v>
      </c>
      <c r="G23" s="9" t="s">
        <v>31</v>
      </c>
      <c r="H23" s="9" t="s">
        <v>48</v>
      </c>
      <c r="I23" s="9" t="s">
        <v>21</v>
      </c>
      <c r="J23" s="9">
        <v>980</v>
      </c>
      <c r="K23" s="9">
        <v>50.46</v>
      </c>
      <c r="L23" s="9">
        <v>3933</v>
      </c>
      <c r="M23" s="9">
        <v>295</v>
      </c>
      <c r="N23" s="9">
        <v>0</v>
      </c>
      <c r="O23" s="9">
        <f>[1]!kaggle[[#This Row],[Units_sold]]*[1]!kaggle[[#This Row],[Unit_price]]</f>
        <v>49450.8</v>
      </c>
      <c r="P23" s="9" t="str">
        <f>IF([1]!kaggle[[#This Row],[Expiry_days_remaining]]&lt;100,"High_Risk","Safe")</f>
        <v>Safe</v>
      </c>
      <c r="Q23" s="10" t="str">
        <f>IF([1]!kaggle[[#This Row],[Stock_level]]=0,"Dead","Active")</f>
        <v>Active</v>
      </c>
    </row>
    <row r="24" spans="1:17" x14ac:dyDescent="0.35">
      <c r="A24" s="5">
        <v>44879</v>
      </c>
      <c r="B24" s="6">
        <v>2022</v>
      </c>
      <c r="C24" s="6" t="str">
        <f>TEXT([1]!kaggle[[#This Row],[Date]],"mmm")</f>
        <v>Nov</v>
      </c>
      <c r="D24" s="6">
        <v>14</v>
      </c>
      <c r="E24" s="6" t="s">
        <v>51</v>
      </c>
      <c r="F24" s="6" t="s">
        <v>56</v>
      </c>
      <c r="G24" s="6" t="s">
        <v>39</v>
      </c>
      <c r="H24" s="6" t="s">
        <v>54</v>
      </c>
      <c r="I24" s="6" t="s">
        <v>24</v>
      </c>
      <c r="J24" s="6">
        <v>329</v>
      </c>
      <c r="K24" s="6">
        <v>42.76</v>
      </c>
      <c r="L24" s="6">
        <v>4782</v>
      </c>
      <c r="M24" s="6">
        <v>61</v>
      </c>
      <c r="N24" s="6">
        <v>0</v>
      </c>
      <c r="O24" s="6">
        <f>[1]!kaggle[[#This Row],[Units_sold]]*[1]!kaggle[[#This Row],[Unit_price]]</f>
        <v>14068.039999999999</v>
      </c>
      <c r="P24" s="6" t="str">
        <f>IF([1]!kaggle[[#This Row],[Expiry_days_remaining]]&lt;100,"High_Risk","Safe")</f>
        <v>High_Risk</v>
      </c>
      <c r="Q24" s="7" t="str">
        <f>IF([1]!kaggle[[#This Row],[Stock_level]]=0,"Dead","Active")</f>
        <v>Active</v>
      </c>
    </row>
    <row r="25" spans="1:17" x14ac:dyDescent="0.35">
      <c r="A25" s="8">
        <v>43979</v>
      </c>
      <c r="B25" s="9">
        <v>2020</v>
      </c>
      <c r="C25" s="9" t="str">
        <f>TEXT([1]!kaggle[[#This Row],[Date]],"mmm")</f>
        <v>May</v>
      </c>
      <c r="D25" s="9">
        <v>28</v>
      </c>
      <c r="E25" s="9" t="s">
        <v>37</v>
      </c>
      <c r="F25" s="9" t="s">
        <v>38</v>
      </c>
      <c r="G25" s="9" t="s">
        <v>19</v>
      </c>
      <c r="H25" s="9" t="s">
        <v>30</v>
      </c>
      <c r="I25" s="9" t="s">
        <v>36</v>
      </c>
      <c r="J25" s="9">
        <v>926</v>
      </c>
      <c r="K25" s="9">
        <v>40.79</v>
      </c>
      <c r="L25" s="9">
        <v>4231</v>
      </c>
      <c r="M25" s="9">
        <v>384</v>
      </c>
      <c r="N25" s="9">
        <v>1</v>
      </c>
      <c r="O25" s="9">
        <f>[1]!kaggle[[#This Row],[Units_sold]]*[1]!kaggle[[#This Row],[Unit_price]]</f>
        <v>37771.54</v>
      </c>
      <c r="P25" s="9" t="str">
        <f>IF([1]!kaggle[[#This Row],[Expiry_days_remaining]]&lt;100,"High_Risk","Safe")</f>
        <v>Safe</v>
      </c>
      <c r="Q25" s="10" t="str">
        <f>IF([1]!kaggle[[#This Row],[Stock_level]]=0,"Dead","Active")</f>
        <v>Active</v>
      </c>
    </row>
    <row r="26" spans="1:17" x14ac:dyDescent="0.35">
      <c r="A26" s="5">
        <v>44596</v>
      </c>
      <c r="B26" s="6">
        <v>2022</v>
      </c>
      <c r="C26" s="6" t="str">
        <f>TEXT([1]!kaggle[[#This Row],[Date]],"mmm")</f>
        <v>Feb</v>
      </c>
      <c r="D26" s="6">
        <v>4</v>
      </c>
      <c r="E26" s="6" t="s">
        <v>37</v>
      </c>
      <c r="F26" s="6" t="s">
        <v>45</v>
      </c>
      <c r="G26" s="6" t="s">
        <v>19</v>
      </c>
      <c r="H26" s="6" t="s">
        <v>30</v>
      </c>
      <c r="I26" s="6" t="s">
        <v>41</v>
      </c>
      <c r="J26" s="6">
        <v>279</v>
      </c>
      <c r="K26" s="6">
        <v>46.49</v>
      </c>
      <c r="L26" s="6">
        <v>4523</v>
      </c>
      <c r="M26" s="6">
        <v>642</v>
      </c>
      <c r="N26" s="6">
        <v>0</v>
      </c>
      <c r="O26" s="6">
        <f>[1]!kaggle[[#This Row],[Units_sold]]*[1]!kaggle[[#This Row],[Unit_price]]</f>
        <v>12970.710000000001</v>
      </c>
      <c r="P26" s="6" t="str">
        <f>IF([1]!kaggle[[#This Row],[Expiry_days_remaining]]&lt;100,"High_Risk","Safe")</f>
        <v>Safe</v>
      </c>
      <c r="Q26" s="7" t="str">
        <f>IF([1]!kaggle[[#This Row],[Stock_level]]=0,"Dead","Active")</f>
        <v>Active</v>
      </c>
    </row>
    <row r="27" spans="1:17" x14ac:dyDescent="0.35">
      <c r="A27" s="8">
        <v>44270</v>
      </c>
      <c r="B27" s="9">
        <v>2021</v>
      </c>
      <c r="C27" s="9" t="str">
        <f>TEXT([1]!kaggle[[#This Row],[Date]],"mmm")</f>
        <v>Mar</v>
      </c>
      <c r="D27" s="9">
        <v>15</v>
      </c>
      <c r="E27" s="9" t="s">
        <v>43</v>
      </c>
      <c r="F27" s="9" t="s">
        <v>44</v>
      </c>
      <c r="G27" s="9" t="s">
        <v>31</v>
      </c>
      <c r="H27" s="9" t="s">
        <v>48</v>
      </c>
      <c r="I27" s="9" t="s">
        <v>41</v>
      </c>
      <c r="J27" s="9">
        <v>806</v>
      </c>
      <c r="K27" s="9">
        <v>76</v>
      </c>
      <c r="L27" s="9">
        <v>4154</v>
      </c>
      <c r="M27" s="9">
        <v>674</v>
      </c>
      <c r="N27" s="9">
        <v>1</v>
      </c>
      <c r="O27" s="9">
        <f>[1]!kaggle[[#This Row],[Units_sold]]*[1]!kaggle[[#This Row],[Unit_price]]</f>
        <v>61256</v>
      </c>
      <c r="P27" s="9" t="str">
        <f>IF([1]!kaggle[[#This Row],[Expiry_days_remaining]]&lt;100,"High_Risk","Safe")</f>
        <v>Safe</v>
      </c>
      <c r="Q27" s="10" t="str">
        <f>IF([1]!kaggle[[#This Row],[Stock_level]]=0,"Dead","Active")</f>
        <v>Active</v>
      </c>
    </row>
    <row r="28" spans="1:17" x14ac:dyDescent="0.35">
      <c r="A28" s="5">
        <v>44770</v>
      </c>
      <c r="B28" s="6">
        <v>2022</v>
      </c>
      <c r="C28" s="6" t="str">
        <f>TEXT([1]!kaggle[[#This Row],[Date]],"mmm")</f>
        <v>Jul</v>
      </c>
      <c r="D28" s="6">
        <v>28</v>
      </c>
      <c r="E28" s="6" t="s">
        <v>34</v>
      </c>
      <c r="F28" s="6" t="s">
        <v>57</v>
      </c>
      <c r="G28" s="6" t="s">
        <v>25</v>
      </c>
      <c r="H28" s="6" t="s">
        <v>26</v>
      </c>
      <c r="I28" s="6" t="s">
        <v>36</v>
      </c>
      <c r="J28" s="6">
        <v>355</v>
      </c>
      <c r="K28" s="6">
        <v>62.63</v>
      </c>
      <c r="L28" s="6">
        <v>4830</v>
      </c>
      <c r="M28" s="6">
        <v>667</v>
      </c>
      <c r="N28" s="6">
        <v>0</v>
      </c>
      <c r="O28" s="6">
        <f>[1]!kaggle[[#This Row],[Units_sold]]*[1]!kaggle[[#This Row],[Unit_price]]</f>
        <v>22233.65</v>
      </c>
      <c r="P28" s="6" t="str">
        <f>IF([1]!kaggle[[#This Row],[Expiry_days_remaining]]&lt;100,"High_Risk","Safe")</f>
        <v>Safe</v>
      </c>
      <c r="Q28" s="7" t="str">
        <f>IF([1]!kaggle[[#This Row],[Stock_level]]=0,"Dead","Active")</f>
        <v>Active</v>
      </c>
    </row>
    <row r="29" spans="1:17" x14ac:dyDescent="0.35">
      <c r="A29" s="8">
        <v>44344</v>
      </c>
      <c r="B29" s="9">
        <v>2021</v>
      </c>
      <c r="C29" s="9" t="str">
        <f>TEXT([1]!kaggle[[#This Row],[Date]],"mmm")</f>
        <v>May</v>
      </c>
      <c r="D29" s="9">
        <v>28</v>
      </c>
      <c r="E29" s="9" t="s">
        <v>51</v>
      </c>
      <c r="F29" s="9" t="s">
        <v>58</v>
      </c>
      <c r="G29" s="9" t="s">
        <v>19</v>
      </c>
      <c r="H29" s="9" t="s">
        <v>20</v>
      </c>
      <c r="I29" s="9" t="s">
        <v>21</v>
      </c>
      <c r="J29" s="9">
        <v>845</v>
      </c>
      <c r="K29" s="9">
        <v>50.88</v>
      </c>
      <c r="L29" s="9">
        <v>4330</v>
      </c>
      <c r="M29" s="9">
        <v>493</v>
      </c>
      <c r="N29" s="9">
        <v>1</v>
      </c>
      <c r="O29" s="9">
        <f>[1]!kaggle[[#This Row],[Units_sold]]*[1]!kaggle[[#This Row],[Unit_price]]</f>
        <v>42993.599999999999</v>
      </c>
      <c r="P29" s="9" t="str">
        <f>IF([1]!kaggle[[#This Row],[Expiry_days_remaining]]&lt;100,"High_Risk","Safe")</f>
        <v>Safe</v>
      </c>
      <c r="Q29" s="10" t="str">
        <f>IF([1]!kaggle[[#This Row],[Stock_level]]=0,"Dead","Active")</f>
        <v>Active</v>
      </c>
    </row>
    <row r="30" spans="1:17" x14ac:dyDescent="0.35">
      <c r="A30" s="5">
        <v>45444</v>
      </c>
      <c r="B30" s="6">
        <v>2024</v>
      </c>
      <c r="C30" s="6" t="str">
        <f>TEXT([1]!kaggle[[#This Row],[Date]],"mmm")</f>
        <v>Jun</v>
      </c>
      <c r="D30" s="6">
        <v>1</v>
      </c>
      <c r="E30" s="6" t="s">
        <v>46</v>
      </c>
      <c r="F30" s="6" t="s">
        <v>59</v>
      </c>
      <c r="G30" s="6" t="s">
        <v>25</v>
      </c>
      <c r="H30" s="6" t="s">
        <v>26</v>
      </c>
      <c r="I30" s="6" t="s">
        <v>24</v>
      </c>
      <c r="J30" s="6">
        <v>282</v>
      </c>
      <c r="K30" s="6">
        <v>91.83</v>
      </c>
      <c r="L30" s="6">
        <v>4788</v>
      </c>
      <c r="M30" s="6">
        <v>404</v>
      </c>
      <c r="N30" s="6">
        <v>0</v>
      </c>
      <c r="O30" s="6">
        <f>[1]!kaggle[[#This Row],[Units_sold]]*[1]!kaggle[[#This Row],[Unit_price]]</f>
        <v>25896.06</v>
      </c>
      <c r="P30" s="6" t="str">
        <f>IF([1]!kaggle[[#This Row],[Expiry_days_remaining]]&lt;100,"High_Risk","Safe")</f>
        <v>Safe</v>
      </c>
      <c r="Q30" s="7" t="str">
        <f>IF([1]!kaggle[[#This Row],[Stock_level]]=0,"Dead","Active")</f>
        <v>Active</v>
      </c>
    </row>
    <row r="31" spans="1:17" x14ac:dyDescent="0.35">
      <c r="A31" s="8">
        <v>44436</v>
      </c>
      <c r="B31" s="9">
        <v>2021</v>
      </c>
      <c r="C31" s="9" t="str">
        <f>TEXT([1]!kaggle[[#This Row],[Date]],"mmm")</f>
        <v>Aug</v>
      </c>
      <c r="D31" s="9">
        <v>28</v>
      </c>
      <c r="E31" s="9" t="s">
        <v>43</v>
      </c>
      <c r="F31" s="9" t="s">
        <v>44</v>
      </c>
      <c r="G31" s="9" t="s">
        <v>39</v>
      </c>
      <c r="H31" s="9" t="s">
        <v>54</v>
      </c>
      <c r="I31" s="9" t="s">
        <v>33</v>
      </c>
      <c r="J31" s="9">
        <v>252</v>
      </c>
      <c r="K31" s="9">
        <v>52.07</v>
      </c>
      <c r="L31" s="9">
        <v>4673</v>
      </c>
      <c r="M31" s="9">
        <v>585</v>
      </c>
      <c r="N31" s="9">
        <v>1</v>
      </c>
      <c r="O31" s="9">
        <f>[1]!kaggle[[#This Row],[Units_sold]]*[1]!kaggle[[#This Row],[Unit_price]]</f>
        <v>13121.64</v>
      </c>
      <c r="P31" s="9" t="str">
        <f>IF([1]!kaggle[[#This Row],[Expiry_days_remaining]]&lt;100,"High_Risk","Safe")</f>
        <v>Safe</v>
      </c>
      <c r="Q31" s="10" t="str">
        <f>IF([1]!kaggle[[#This Row],[Stock_level]]=0,"Dead","Active")</f>
        <v>Active</v>
      </c>
    </row>
    <row r="32" spans="1:17" x14ac:dyDescent="0.35">
      <c r="A32" s="5">
        <v>45657</v>
      </c>
      <c r="B32" s="6">
        <v>2024</v>
      </c>
      <c r="C32" s="6" t="str">
        <f>TEXT([1]!kaggle[[#This Row],[Date]],"mmm")</f>
        <v>Dec</v>
      </c>
      <c r="D32" s="6">
        <v>31</v>
      </c>
      <c r="E32" s="6" t="s">
        <v>46</v>
      </c>
      <c r="F32" s="6" t="s">
        <v>47</v>
      </c>
      <c r="G32" s="6" t="s">
        <v>19</v>
      </c>
      <c r="H32" s="6" t="s">
        <v>20</v>
      </c>
      <c r="I32" s="6" t="s">
        <v>41</v>
      </c>
      <c r="J32" s="6">
        <v>315</v>
      </c>
      <c r="K32" s="6">
        <v>24.11</v>
      </c>
      <c r="L32" s="6">
        <v>4852</v>
      </c>
      <c r="M32" s="6">
        <v>515</v>
      </c>
      <c r="N32" s="6">
        <v>0</v>
      </c>
      <c r="O32" s="6">
        <f>[1]!kaggle[[#This Row],[Units_sold]]*[1]!kaggle[[#This Row],[Unit_price]]</f>
        <v>7594.65</v>
      </c>
      <c r="P32" s="6" t="str">
        <f>IF([1]!kaggle[[#This Row],[Expiry_days_remaining]]&lt;100,"High_Risk","Safe")</f>
        <v>Safe</v>
      </c>
      <c r="Q32" s="7" t="str">
        <f>IF([1]!kaggle[[#This Row],[Stock_level]]=0,"Dead","Active")</f>
        <v>Active</v>
      </c>
    </row>
    <row r="33" spans="1:17" x14ac:dyDescent="0.35">
      <c r="A33" s="8">
        <v>45182</v>
      </c>
      <c r="B33" s="9">
        <v>2023</v>
      </c>
      <c r="C33" s="9" t="str">
        <f>TEXT([1]!kaggle[[#This Row],[Date]],"mmm")</f>
        <v>Sep</v>
      </c>
      <c r="D33" s="9">
        <v>13</v>
      </c>
      <c r="E33" s="9" t="s">
        <v>17</v>
      </c>
      <c r="F33" s="9" t="s">
        <v>42</v>
      </c>
      <c r="G33" s="9" t="s">
        <v>19</v>
      </c>
      <c r="H33" s="9" t="s">
        <v>30</v>
      </c>
      <c r="I33" s="9" t="s">
        <v>21</v>
      </c>
      <c r="J33" s="9">
        <v>167</v>
      </c>
      <c r="K33" s="9">
        <v>25.39</v>
      </c>
      <c r="L33" s="9">
        <v>4965</v>
      </c>
      <c r="M33" s="9">
        <v>681</v>
      </c>
      <c r="N33" s="9">
        <v>0</v>
      </c>
      <c r="O33" s="9">
        <f>[1]!kaggle[[#This Row],[Units_sold]]*[1]!kaggle[[#This Row],[Unit_price]]</f>
        <v>4240.13</v>
      </c>
      <c r="P33" s="9" t="str">
        <f>IF([1]!kaggle[[#This Row],[Expiry_days_remaining]]&lt;100,"High_Risk","Safe")</f>
        <v>Safe</v>
      </c>
      <c r="Q33" s="10" t="str">
        <f>IF([1]!kaggle[[#This Row],[Stock_level]]=0,"Dead","Active")</f>
        <v>Active</v>
      </c>
    </row>
    <row r="34" spans="1:17" x14ac:dyDescent="0.35">
      <c r="A34" s="5">
        <v>45137</v>
      </c>
      <c r="B34" s="6">
        <v>2023</v>
      </c>
      <c r="C34" s="6" t="str">
        <f>TEXT([1]!kaggle[[#This Row],[Date]],"mmm")</f>
        <v>Jul</v>
      </c>
      <c r="D34" s="6">
        <v>30</v>
      </c>
      <c r="E34" s="6" t="s">
        <v>46</v>
      </c>
      <c r="F34" s="6" t="s">
        <v>59</v>
      </c>
      <c r="G34" s="6" t="s">
        <v>31</v>
      </c>
      <c r="H34" s="6" t="s">
        <v>32</v>
      </c>
      <c r="I34" s="6" t="s">
        <v>41</v>
      </c>
      <c r="J34" s="6">
        <v>228</v>
      </c>
      <c r="K34" s="6">
        <v>78.45</v>
      </c>
      <c r="L34" s="6">
        <v>4767</v>
      </c>
      <c r="M34" s="6">
        <v>341</v>
      </c>
      <c r="N34" s="6">
        <v>0</v>
      </c>
      <c r="O34" s="6">
        <f>[1]!kaggle[[#This Row],[Units_sold]]*[1]!kaggle[[#This Row],[Unit_price]]</f>
        <v>17886.600000000002</v>
      </c>
      <c r="P34" s="6" t="str">
        <f>IF([1]!kaggle[[#This Row],[Expiry_days_remaining]]&lt;100,"High_Risk","Safe")</f>
        <v>Safe</v>
      </c>
      <c r="Q34" s="7" t="str">
        <f>IF([1]!kaggle[[#This Row],[Stock_level]]=0,"Dead","Active")</f>
        <v>Active</v>
      </c>
    </row>
    <row r="35" spans="1:17" x14ac:dyDescent="0.35">
      <c r="A35" s="8">
        <v>44199</v>
      </c>
      <c r="B35" s="9">
        <v>2021</v>
      </c>
      <c r="C35" s="9" t="str">
        <f>TEXT([1]!kaggle[[#This Row],[Date]],"mmm")</f>
        <v>Jan</v>
      </c>
      <c r="D35" s="9">
        <v>3</v>
      </c>
      <c r="E35" s="9" t="s">
        <v>46</v>
      </c>
      <c r="F35" s="9" t="s">
        <v>60</v>
      </c>
      <c r="G35" s="9" t="s">
        <v>31</v>
      </c>
      <c r="H35" s="9" t="s">
        <v>32</v>
      </c>
      <c r="I35" s="9" t="s">
        <v>33</v>
      </c>
      <c r="J35" s="9">
        <v>485</v>
      </c>
      <c r="K35" s="9">
        <v>64.98</v>
      </c>
      <c r="L35" s="9">
        <v>4611</v>
      </c>
      <c r="M35" s="9">
        <v>117</v>
      </c>
      <c r="N35" s="9">
        <v>1</v>
      </c>
      <c r="O35" s="9">
        <f>[1]!kaggle[[#This Row],[Units_sold]]*[1]!kaggle[[#This Row],[Unit_price]]</f>
        <v>31515.300000000003</v>
      </c>
      <c r="P35" s="9" t="str">
        <f>IF([1]!kaggle[[#This Row],[Expiry_days_remaining]]&lt;100,"High_Risk","Safe")</f>
        <v>Safe</v>
      </c>
      <c r="Q35" s="10" t="str">
        <f>IF([1]!kaggle[[#This Row],[Stock_level]]=0,"Dead","Active")</f>
        <v>Active</v>
      </c>
    </row>
    <row r="36" spans="1:17" x14ac:dyDescent="0.35">
      <c r="A36" s="5">
        <v>43851</v>
      </c>
      <c r="B36" s="6">
        <v>2020</v>
      </c>
      <c r="C36" s="6" t="str">
        <f>TEXT([1]!kaggle[[#This Row],[Date]],"mmm")</f>
        <v>Jan</v>
      </c>
      <c r="D36" s="6">
        <v>21</v>
      </c>
      <c r="E36" s="6" t="s">
        <v>51</v>
      </c>
      <c r="F36" s="6" t="s">
        <v>58</v>
      </c>
      <c r="G36" s="6" t="s">
        <v>39</v>
      </c>
      <c r="H36" s="6" t="s">
        <v>54</v>
      </c>
      <c r="I36" s="6" t="s">
        <v>33</v>
      </c>
      <c r="J36" s="6">
        <v>539</v>
      </c>
      <c r="K36" s="6">
        <v>69.03</v>
      </c>
      <c r="L36" s="6">
        <v>4332</v>
      </c>
      <c r="M36" s="6">
        <v>185</v>
      </c>
      <c r="N36" s="6">
        <v>1</v>
      </c>
      <c r="O36" s="6">
        <f>[1]!kaggle[[#This Row],[Units_sold]]*[1]!kaggle[[#This Row],[Unit_price]]</f>
        <v>37207.17</v>
      </c>
      <c r="P36" s="6" t="str">
        <f>IF([1]!kaggle[[#This Row],[Expiry_days_remaining]]&lt;100,"High_Risk","Safe")</f>
        <v>Safe</v>
      </c>
      <c r="Q36" s="7" t="str">
        <f>IF([1]!kaggle[[#This Row],[Stock_level]]=0,"Dead","Active")</f>
        <v>Active</v>
      </c>
    </row>
    <row r="37" spans="1:17" x14ac:dyDescent="0.35">
      <c r="A37" s="8">
        <v>45738</v>
      </c>
      <c r="B37" s="9">
        <v>2025</v>
      </c>
      <c r="C37" s="9" t="str">
        <f>TEXT([1]!kaggle[[#This Row],[Date]],"mmm")</f>
        <v>Mar</v>
      </c>
      <c r="D37" s="9">
        <v>22</v>
      </c>
      <c r="E37" s="9" t="s">
        <v>34</v>
      </c>
      <c r="F37" s="9" t="s">
        <v>57</v>
      </c>
      <c r="G37" s="9" t="s">
        <v>19</v>
      </c>
      <c r="H37" s="9" t="s">
        <v>30</v>
      </c>
      <c r="I37" s="9" t="s">
        <v>21</v>
      </c>
      <c r="J37" s="9">
        <v>328</v>
      </c>
      <c r="K37" s="9">
        <v>74.290000000000006</v>
      </c>
      <c r="L37" s="9">
        <v>4637</v>
      </c>
      <c r="M37" s="9">
        <v>343</v>
      </c>
      <c r="N37" s="9">
        <v>0</v>
      </c>
      <c r="O37" s="9">
        <f>[1]!kaggle[[#This Row],[Units_sold]]*[1]!kaggle[[#This Row],[Unit_price]]</f>
        <v>24367.120000000003</v>
      </c>
      <c r="P37" s="9" t="str">
        <f>IF([1]!kaggle[[#This Row],[Expiry_days_remaining]]&lt;100,"High_Risk","Safe")</f>
        <v>Safe</v>
      </c>
      <c r="Q37" s="10" t="str">
        <f>IF([1]!kaggle[[#This Row],[Stock_level]]=0,"Dead","Active")</f>
        <v>Active</v>
      </c>
    </row>
    <row r="38" spans="1:17" x14ac:dyDescent="0.35">
      <c r="A38" s="5">
        <v>44876</v>
      </c>
      <c r="B38" s="6">
        <v>2022</v>
      </c>
      <c r="C38" s="6" t="str">
        <f>TEXT([1]!kaggle[[#This Row],[Date]],"mmm")</f>
        <v>Nov</v>
      </c>
      <c r="D38" s="6">
        <v>11</v>
      </c>
      <c r="E38" s="6" t="s">
        <v>37</v>
      </c>
      <c r="F38" s="6" t="s">
        <v>38</v>
      </c>
      <c r="G38" s="6" t="s">
        <v>19</v>
      </c>
      <c r="H38" s="6" t="s">
        <v>30</v>
      </c>
      <c r="I38" s="6" t="s">
        <v>21</v>
      </c>
      <c r="J38" s="6">
        <v>206</v>
      </c>
      <c r="K38" s="6">
        <v>85.52</v>
      </c>
      <c r="L38" s="6">
        <v>4909</v>
      </c>
      <c r="M38" s="6">
        <v>310</v>
      </c>
      <c r="N38" s="6">
        <v>0</v>
      </c>
      <c r="O38" s="6">
        <f>[1]!kaggle[[#This Row],[Units_sold]]*[1]!kaggle[[#This Row],[Unit_price]]</f>
        <v>17617.12</v>
      </c>
      <c r="P38" s="6" t="str">
        <f>IF([1]!kaggle[[#This Row],[Expiry_days_remaining]]&lt;100,"High_Risk","Safe")</f>
        <v>Safe</v>
      </c>
      <c r="Q38" s="7" t="str">
        <f>IF([1]!kaggle[[#This Row],[Stock_level]]=0,"Dead","Active")</f>
        <v>Active</v>
      </c>
    </row>
    <row r="39" spans="1:17" x14ac:dyDescent="0.35">
      <c r="A39" s="8">
        <v>44527</v>
      </c>
      <c r="B39" s="9">
        <v>2021</v>
      </c>
      <c r="C39" s="9" t="str">
        <f>TEXT([1]!kaggle[[#This Row],[Date]],"mmm")</f>
        <v>Nov</v>
      </c>
      <c r="D39" s="9">
        <v>27</v>
      </c>
      <c r="E39" s="9" t="s">
        <v>17</v>
      </c>
      <c r="F39" s="9" t="s">
        <v>42</v>
      </c>
      <c r="G39" s="9" t="s">
        <v>31</v>
      </c>
      <c r="H39" s="9" t="s">
        <v>48</v>
      </c>
      <c r="I39" s="9" t="s">
        <v>36</v>
      </c>
      <c r="J39" s="9">
        <v>362</v>
      </c>
      <c r="K39" s="9">
        <v>52.68</v>
      </c>
      <c r="L39" s="9">
        <v>4802</v>
      </c>
      <c r="M39" s="9">
        <v>454</v>
      </c>
      <c r="N39" s="9">
        <v>1</v>
      </c>
      <c r="O39" s="9">
        <f>[1]!kaggle[[#This Row],[Units_sold]]*[1]!kaggle[[#This Row],[Unit_price]]</f>
        <v>19070.16</v>
      </c>
      <c r="P39" s="9" t="str">
        <f>IF([1]!kaggle[[#This Row],[Expiry_days_remaining]]&lt;100,"High_Risk","Safe")</f>
        <v>Safe</v>
      </c>
      <c r="Q39" s="10" t="str">
        <f>IF([1]!kaggle[[#This Row],[Stock_level]]=0,"Dead","Active")</f>
        <v>Active</v>
      </c>
    </row>
    <row r="40" spans="1:17" x14ac:dyDescent="0.35">
      <c r="A40" s="5">
        <v>44058</v>
      </c>
      <c r="B40" s="6">
        <v>2020</v>
      </c>
      <c r="C40" s="6" t="str">
        <f>TEXT([1]!kaggle[[#This Row],[Date]],"mmm")</f>
        <v>Aug</v>
      </c>
      <c r="D40" s="6">
        <v>15</v>
      </c>
      <c r="E40" s="6" t="s">
        <v>37</v>
      </c>
      <c r="F40" s="6" t="s">
        <v>38</v>
      </c>
      <c r="G40" s="6" t="s">
        <v>39</v>
      </c>
      <c r="H40" s="6" t="s">
        <v>40</v>
      </c>
      <c r="I40" s="6" t="s">
        <v>21</v>
      </c>
      <c r="J40" s="6">
        <v>580</v>
      </c>
      <c r="K40" s="6">
        <v>19.97</v>
      </c>
      <c r="L40" s="6">
        <v>4491</v>
      </c>
      <c r="M40" s="6">
        <v>657</v>
      </c>
      <c r="N40" s="6">
        <v>1</v>
      </c>
      <c r="O40" s="6">
        <f>[1]!kaggle[[#This Row],[Units_sold]]*[1]!kaggle[[#This Row],[Unit_price]]</f>
        <v>11582.599999999999</v>
      </c>
      <c r="P40" s="6" t="str">
        <f>IF([1]!kaggle[[#This Row],[Expiry_days_remaining]]&lt;100,"High_Risk","Safe")</f>
        <v>Safe</v>
      </c>
      <c r="Q40" s="7" t="str">
        <f>IF([1]!kaggle[[#This Row],[Stock_level]]=0,"Dead","Active")</f>
        <v>Active</v>
      </c>
    </row>
    <row r="41" spans="1:17" x14ac:dyDescent="0.35">
      <c r="A41" s="8">
        <v>44413</v>
      </c>
      <c r="B41" s="9">
        <v>2021</v>
      </c>
      <c r="C41" s="9" t="str">
        <f>TEXT([1]!kaggle[[#This Row],[Date]],"mmm")</f>
        <v>Aug</v>
      </c>
      <c r="D41" s="9">
        <v>5</v>
      </c>
      <c r="E41" s="9" t="s">
        <v>17</v>
      </c>
      <c r="F41" s="9" t="s">
        <v>42</v>
      </c>
      <c r="G41" s="9" t="s">
        <v>49</v>
      </c>
      <c r="H41" s="9" t="s">
        <v>61</v>
      </c>
      <c r="I41" s="9" t="s">
        <v>21</v>
      </c>
      <c r="J41" s="9">
        <v>305</v>
      </c>
      <c r="K41" s="9">
        <v>29.09</v>
      </c>
      <c r="L41" s="9">
        <v>4579</v>
      </c>
      <c r="M41" s="9">
        <v>229</v>
      </c>
      <c r="N41" s="9">
        <v>1</v>
      </c>
      <c r="O41" s="9">
        <f>[1]!kaggle[[#This Row],[Units_sold]]*[1]!kaggle[[#This Row],[Unit_price]]</f>
        <v>8872.4500000000007</v>
      </c>
      <c r="P41" s="9" t="str">
        <f>IF([1]!kaggle[[#This Row],[Expiry_days_remaining]]&lt;100,"High_Risk","Safe")</f>
        <v>Safe</v>
      </c>
      <c r="Q41" s="10" t="str">
        <f>IF([1]!kaggle[[#This Row],[Stock_level]]=0,"Dead","Active")</f>
        <v>Active</v>
      </c>
    </row>
    <row r="42" spans="1:17" x14ac:dyDescent="0.35">
      <c r="A42" s="5">
        <v>43865</v>
      </c>
      <c r="B42" s="6">
        <v>2020</v>
      </c>
      <c r="C42" s="6" t="str">
        <f>TEXT([1]!kaggle[[#This Row],[Date]],"mmm")</f>
        <v>Feb</v>
      </c>
      <c r="D42" s="6">
        <v>4</v>
      </c>
      <c r="E42" s="6" t="s">
        <v>28</v>
      </c>
      <c r="F42" s="6" t="s">
        <v>29</v>
      </c>
      <c r="G42" s="6" t="s">
        <v>39</v>
      </c>
      <c r="H42" s="6" t="s">
        <v>54</v>
      </c>
      <c r="I42" s="6" t="s">
        <v>33</v>
      </c>
      <c r="J42" s="6">
        <v>637</v>
      </c>
      <c r="K42" s="6">
        <v>23.94</v>
      </c>
      <c r="L42" s="6">
        <v>4483</v>
      </c>
      <c r="M42" s="6">
        <v>422</v>
      </c>
      <c r="N42" s="6">
        <v>1</v>
      </c>
      <c r="O42" s="6">
        <f>[1]!kaggle[[#This Row],[Units_sold]]*[1]!kaggle[[#This Row],[Unit_price]]</f>
        <v>15249.78</v>
      </c>
      <c r="P42" s="6" t="str">
        <f>IF([1]!kaggle[[#This Row],[Expiry_days_remaining]]&lt;100,"High_Risk","Safe")</f>
        <v>Safe</v>
      </c>
      <c r="Q42" s="7" t="str">
        <f>IF([1]!kaggle[[#This Row],[Stock_level]]=0,"Dead","Active")</f>
        <v>Active</v>
      </c>
    </row>
    <row r="43" spans="1:17" x14ac:dyDescent="0.35">
      <c r="A43" s="8">
        <v>44383</v>
      </c>
      <c r="B43" s="9">
        <v>2021</v>
      </c>
      <c r="C43" s="9" t="str">
        <f>TEXT([1]!kaggle[[#This Row],[Date]],"mmm")</f>
        <v>Jul</v>
      </c>
      <c r="D43" s="9">
        <v>6</v>
      </c>
      <c r="E43" s="9" t="s">
        <v>46</v>
      </c>
      <c r="F43" s="9" t="s">
        <v>59</v>
      </c>
      <c r="G43" s="9" t="s">
        <v>39</v>
      </c>
      <c r="H43" s="9" t="s">
        <v>54</v>
      </c>
      <c r="I43" s="9" t="s">
        <v>36</v>
      </c>
      <c r="J43" s="9">
        <v>429</v>
      </c>
      <c r="K43" s="9">
        <v>47.21</v>
      </c>
      <c r="L43" s="9">
        <v>4502</v>
      </c>
      <c r="M43" s="9">
        <v>495</v>
      </c>
      <c r="N43" s="9">
        <v>1</v>
      </c>
      <c r="O43" s="9">
        <f>[1]!kaggle[[#This Row],[Units_sold]]*[1]!kaggle[[#This Row],[Unit_price]]</f>
        <v>20253.09</v>
      </c>
      <c r="P43" s="9" t="str">
        <f>IF([1]!kaggle[[#This Row],[Expiry_days_remaining]]&lt;100,"High_Risk","Safe")</f>
        <v>Safe</v>
      </c>
      <c r="Q43" s="10" t="str">
        <f>IF([1]!kaggle[[#This Row],[Stock_level]]=0,"Dead","Active")</f>
        <v>Active</v>
      </c>
    </row>
    <row r="44" spans="1:17" x14ac:dyDescent="0.35">
      <c r="A44" s="5">
        <v>45412</v>
      </c>
      <c r="B44" s="6">
        <v>2024</v>
      </c>
      <c r="C44" s="6" t="str">
        <f>TEXT([1]!kaggle[[#This Row],[Date]],"mmm")</f>
        <v>Apr</v>
      </c>
      <c r="D44" s="6">
        <v>30</v>
      </c>
      <c r="E44" s="6" t="s">
        <v>51</v>
      </c>
      <c r="F44" s="6" t="s">
        <v>58</v>
      </c>
      <c r="G44" s="6" t="s">
        <v>49</v>
      </c>
      <c r="H44" s="6" t="s">
        <v>61</v>
      </c>
      <c r="I44" s="6" t="s">
        <v>36</v>
      </c>
      <c r="J44" s="6">
        <v>446</v>
      </c>
      <c r="K44" s="6">
        <v>25.28</v>
      </c>
      <c r="L44" s="6">
        <v>4695</v>
      </c>
      <c r="M44" s="6">
        <v>671</v>
      </c>
      <c r="N44" s="6">
        <v>0</v>
      </c>
      <c r="O44" s="6">
        <f>[1]!kaggle[[#This Row],[Units_sold]]*[1]!kaggle[[#This Row],[Unit_price]]</f>
        <v>11274.880000000001</v>
      </c>
      <c r="P44" s="6" t="str">
        <f>IF([1]!kaggle[[#This Row],[Expiry_days_remaining]]&lt;100,"High_Risk","Safe")</f>
        <v>Safe</v>
      </c>
      <c r="Q44" s="7" t="str">
        <f>IF([1]!kaggle[[#This Row],[Stock_level]]=0,"Dead","Active")</f>
        <v>Active</v>
      </c>
    </row>
    <row r="45" spans="1:17" x14ac:dyDescent="0.35">
      <c r="A45" s="8">
        <v>45700</v>
      </c>
      <c r="B45" s="9">
        <v>2025</v>
      </c>
      <c r="C45" s="9" t="str">
        <f>TEXT([1]!kaggle[[#This Row],[Date]],"mmm")</f>
        <v>Feb</v>
      </c>
      <c r="D45" s="9">
        <v>12</v>
      </c>
      <c r="E45" s="9" t="s">
        <v>28</v>
      </c>
      <c r="F45" s="9" t="s">
        <v>55</v>
      </c>
      <c r="G45" s="9" t="s">
        <v>31</v>
      </c>
      <c r="H45" s="9" t="s">
        <v>32</v>
      </c>
      <c r="I45" s="9" t="s">
        <v>24</v>
      </c>
      <c r="J45" s="9">
        <v>511</v>
      </c>
      <c r="K45" s="9">
        <v>5.18</v>
      </c>
      <c r="L45" s="9">
        <v>4350</v>
      </c>
      <c r="M45" s="9">
        <v>511</v>
      </c>
      <c r="N45" s="9">
        <v>0</v>
      </c>
      <c r="O45" s="9">
        <f>[1]!kaggle[[#This Row],[Units_sold]]*[1]!kaggle[[#This Row],[Unit_price]]</f>
        <v>2646.98</v>
      </c>
      <c r="P45" s="9" t="str">
        <f>IF([1]!kaggle[[#This Row],[Expiry_days_remaining]]&lt;100,"High_Risk","Safe")</f>
        <v>Safe</v>
      </c>
      <c r="Q45" s="10" t="str">
        <f>IF([1]!kaggle[[#This Row],[Stock_level]]=0,"Dead","Active")</f>
        <v>Active</v>
      </c>
    </row>
    <row r="46" spans="1:17" x14ac:dyDescent="0.35">
      <c r="A46" s="5">
        <v>45202</v>
      </c>
      <c r="B46" s="6">
        <v>2023</v>
      </c>
      <c r="C46" s="6" t="str">
        <f>TEXT([1]!kaggle[[#This Row],[Date]],"mmm")</f>
        <v>Oct</v>
      </c>
      <c r="D46" s="6">
        <v>3</v>
      </c>
      <c r="E46" s="6" t="s">
        <v>43</v>
      </c>
      <c r="F46" s="6" t="s">
        <v>44</v>
      </c>
      <c r="G46" s="6" t="s">
        <v>19</v>
      </c>
      <c r="H46" s="6" t="s">
        <v>20</v>
      </c>
      <c r="I46" s="6" t="s">
        <v>21</v>
      </c>
      <c r="J46" s="6">
        <v>156</v>
      </c>
      <c r="K46" s="6">
        <v>45.76</v>
      </c>
      <c r="L46" s="6">
        <v>5031</v>
      </c>
      <c r="M46" s="6">
        <v>216</v>
      </c>
      <c r="N46" s="6">
        <v>0</v>
      </c>
      <c r="O46" s="6">
        <f>[1]!kaggle[[#This Row],[Units_sold]]*[1]!kaggle[[#This Row],[Unit_price]]</f>
        <v>7138.5599999999995</v>
      </c>
      <c r="P46" s="6" t="str">
        <f>IF([1]!kaggle[[#This Row],[Expiry_days_remaining]]&lt;100,"High_Risk","Safe")</f>
        <v>Safe</v>
      </c>
      <c r="Q46" s="7" t="str">
        <f>IF([1]!kaggle[[#This Row],[Stock_level]]=0,"Dead","Active")</f>
        <v>Active</v>
      </c>
    </row>
    <row r="47" spans="1:17" x14ac:dyDescent="0.35">
      <c r="A47" s="8">
        <v>45785</v>
      </c>
      <c r="B47" s="9">
        <v>2025</v>
      </c>
      <c r="C47" s="9" t="str">
        <f>TEXT([1]!kaggle[[#This Row],[Date]],"mmm")</f>
        <v>May</v>
      </c>
      <c r="D47" s="9">
        <v>8</v>
      </c>
      <c r="E47" s="9" t="s">
        <v>28</v>
      </c>
      <c r="F47" s="9" t="s">
        <v>55</v>
      </c>
      <c r="G47" s="9" t="s">
        <v>19</v>
      </c>
      <c r="H47" s="9" t="s">
        <v>20</v>
      </c>
      <c r="I47" s="9" t="s">
        <v>24</v>
      </c>
      <c r="J47" s="9">
        <v>471</v>
      </c>
      <c r="K47" s="9">
        <v>72.73</v>
      </c>
      <c r="L47" s="9">
        <v>4542</v>
      </c>
      <c r="M47" s="9">
        <v>642</v>
      </c>
      <c r="N47" s="9">
        <v>0</v>
      </c>
      <c r="O47" s="9">
        <f>[1]!kaggle[[#This Row],[Units_sold]]*[1]!kaggle[[#This Row],[Unit_price]]</f>
        <v>34255.83</v>
      </c>
      <c r="P47" s="9" t="str">
        <f>IF([1]!kaggle[[#This Row],[Expiry_days_remaining]]&lt;100,"High_Risk","Safe")</f>
        <v>Safe</v>
      </c>
      <c r="Q47" s="10" t="str">
        <f>IF([1]!kaggle[[#This Row],[Stock_level]]=0,"Dead","Active")</f>
        <v>Active</v>
      </c>
    </row>
    <row r="48" spans="1:17" x14ac:dyDescent="0.35">
      <c r="A48" s="5">
        <v>45301</v>
      </c>
      <c r="B48" s="6">
        <v>2024</v>
      </c>
      <c r="C48" s="6" t="str">
        <f>TEXT([1]!kaggle[[#This Row],[Date]],"mmm")</f>
        <v>Jan</v>
      </c>
      <c r="D48" s="6">
        <v>10</v>
      </c>
      <c r="E48" s="6" t="s">
        <v>37</v>
      </c>
      <c r="F48" s="6" t="s">
        <v>38</v>
      </c>
      <c r="G48" s="6" t="s">
        <v>31</v>
      </c>
      <c r="H48" s="6" t="s">
        <v>48</v>
      </c>
      <c r="I48" s="6" t="s">
        <v>36</v>
      </c>
      <c r="J48" s="6">
        <v>246</v>
      </c>
      <c r="K48" s="6">
        <v>62.51</v>
      </c>
      <c r="L48" s="6">
        <v>4945</v>
      </c>
      <c r="M48" s="6">
        <v>60</v>
      </c>
      <c r="N48" s="6">
        <v>0</v>
      </c>
      <c r="O48" s="6">
        <f>[1]!kaggle[[#This Row],[Units_sold]]*[1]!kaggle[[#This Row],[Unit_price]]</f>
        <v>15377.46</v>
      </c>
      <c r="P48" s="6" t="str">
        <f>IF([1]!kaggle[[#This Row],[Expiry_days_remaining]]&lt;100,"High_Risk","Safe")</f>
        <v>High_Risk</v>
      </c>
      <c r="Q48" s="7" t="str">
        <f>IF([1]!kaggle[[#This Row],[Stock_level]]=0,"Dead","Active")</f>
        <v>Active</v>
      </c>
    </row>
    <row r="49" spans="1:17" x14ac:dyDescent="0.35">
      <c r="A49" s="8">
        <v>44202</v>
      </c>
      <c r="B49" s="9">
        <v>2021</v>
      </c>
      <c r="C49" s="9" t="str">
        <f>TEXT([1]!kaggle[[#This Row],[Date]],"mmm")</f>
        <v>Jan</v>
      </c>
      <c r="D49" s="9">
        <v>6</v>
      </c>
      <c r="E49" s="9" t="s">
        <v>43</v>
      </c>
      <c r="F49" s="9" t="s">
        <v>62</v>
      </c>
      <c r="G49" s="9" t="s">
        <v>25</v>
      </c>
      <c r="H49" s="9" t="s">
        <v>26</v>
      </c>
      <c r="I49" s="9" t="s">
        <v>24</v>
      </c>
      <c r="J49" s="9">
        <v>400</v>
      </c>
      <c r="K49" s="9">
        <v>46.47</v>
      </c>
      <c r="L49" s="9">
        <v>4670</v>
      </c>
      <c r="M49" s="9">
        <v>132</v>
      </c>
      <c r="N49" s="9">
        <v>1</v>
      </c>
      <c r="O49" s="9">
        <f>[1]!kaggle[[#This Row],[Units_sold]]*[1]!kaggle[[#This Row],[Unit_price]]</f>
        <v>18588</v>
      </c>
      <c r="P49" s="9" t="str">
        <f>IF([1]!kaggle[[#This Row],[Expiry_days_remaining]]&lt;100,"High_Risk","Safe")</f>
        <v>Safe</v>
      </c>
      <c r="Q49" s="10" t="str">
        <f>IF([1]!kaggle[[#This Row],[Stock_level]]=0,"Dead","Active")</f>
        <v>Active</v>
      </c>
    </row>
    <row r="50" spans="1:17" x14ac:dyDescent="0.35">
      <c r="A50" s="5">
        <v>45831</v>
      </c>
      <c r="B50" s="6">
        <v>2025</v>
      </c>
      <c r="C50" s="6" t="str">
        <f>TEXT([1]!kaggle[[#This Row],[Date]],"mmm")</f>
        <v>Jun</v>
      </c>
      <c r="D50" s="6">
        <v>23</v>
      </c>
      <c r="E50" s="6" t="s">
        <v>43</v>
      </c>
      <c r="F50" s="6" t="s">
        <v>62</v>
      </c>
      <c r="G50" s="6" t="s">
        <v>25</v>
      </c>
      <c r="H50" s="6" t="s">
        <v>53</v>
      </c>
      <c r="I50" s="6" t="s">
        <v>41</v>
      </c>
      <c r="J50" s="6">
        <v>393</v>
      </c>
      <c r="K50" s="6">
        <v>66.44</v>
      </c>
      <c r="L50" s="6">
        <v>4604</v>
      </c>
      <c r="M50" s="6">
        <v>36</v>
      </c>
      <c r="N50" s="6">
        <v>0</v>
      </c>
      <c r="O50" s="6">
        <f>[1]!kaggle[[#This Row],[Units_sold]]*[1]!kaggle[[#This Row],[Unit_price]]</f>
        <v>26110.92</v>
      </c>
      <c r="P50" s="6" t="str">
        <f>IF([1]!kaggle[[#This Row],[Expiry_days_remaining]]&lt;100,"High_Risk","Safe")</f>
        <v>High_Risk</v>
      </c>
      <c r="Q50" s="7" t="str">
        <f>IF([1]!kaggle[[#This Row],[Stock_level]]=0,"Dead","Active")</f>
        <v>Active</v>
      </c>
    </row>
    <row r="51" spans="1:17" x14ac:dyDescent="0.35">
      <c r="A51" s="8">
        <v>44386</v>
      </c>
      <c r="B51" s="9">
        <v>2021</v>
      </c>
      <c r="C51" s="9" t="str">
        <f>TEXT([1]!kaggle[[#This Row],[Date]],"mmm")</f>
        <v>Jul</v>
      </c>
      <c r="D51" s="9">
        <v>9</v>
      </c>
      <c r="E51" s="9" t="s">
        <v>22</v>
      </c>
      <c r="F51" s="9" t="s">
        <v>23</v>
      </c>
      <c r="G51" s="9" t="s">
        <v>49</v>
      </c>
      <c r="H51" s="9" t="s">
        <v>50</v>
      </c>
      <c r="I51" s="9" t="s">
        <v>21</v>
      </c>
      <c r="J51" s="9">
        <v>474</v>
      </c>
      <c r="K51" s="9">
        <v>12.25</v>
      </c>
      <c r="L51" s="9">
        <v>4655</v>
      </c>
      <c r="M51" s="9">
        <v>523</v>
      </c>
      <c r="N51" s="9">
        <v>1</v>
      </c>
      <c r="O51" s="9">
        <f>[1]!kaggle[[#This Row],[Units_sold]]*[1]!kaggle[[#This Row],[Unit_price]]</f>
        <v>5806.5</v>
      </c>
      <c r="P51" s="9" t="str">
        <f>IF([1]!kaggle[[#This Row],[Expiry_days_remaining]]&lt;100,"High_Risk","Safe")</f>
        <v>Safe</v>
      </c>
      <c r="Q51" s="10" t="str">
        <f>IF([1]!kaggle[[#This Row],[Stock_level]]=0,"Dead","Active")</f>
        <v>Active</v>
      </c>
    </row>
    <row r="52" spans="1:17" x14ac:dyDescent="0.35">
      <c r="A52" s="5">
        <v>45293</v>
      </c>
      <c r="B52" s="6">
        <v>2024</v>
      </c>
      <c r="C52" s="6" t="str">
        <f>TEXT([1]!kaggle[[#This Row],[Date]],"mmm")</f>
        <v>Jan</v>
      </c>
      <c r="D52" s="6">
        <v>2</v>
      </c>
      <c r="E52" s="6" t="s">
        <v>28</v>
      </c>
      <c r="F52" s="6" t="s">
        <v>55</v>
      </c>
      <c r="G52" s="6" t="s">
        <v>25</v>
      </c>
      <c r="H52" s="6" t="s">
        <v>53</v>
      </c>
      <c r="I52" s="6" t="s">
        <v>24</v>
      </c>
      <c r="J52" s="6">
        <v>488</v>
      </c>
      <c r="K52" s="6">
        <v>53.59</v>
      </c>
      <c r="L52" s="6">
        <v>4639</v>
      </c>
      <c r="M52" s="6">
        <v>280</v>
      </c>
      <c r="N52" s="6">
        <v>0</v>
      </c>
      <c r="O52" s="6">
        <f>[1]!kaggle[[#This Row],[Units_sold]]*[1]!kaggle[[#This Row],[Unit_price]]</f>
        <v>26151.920000000002</v>
      </c>
      <c r="P52" s="6" t="str">
        <f>IF([1]!kaggle[[#This Row],[Expiry_days_remaining]]&lt;100,"High_Risk","Safe")</f>
        <v>Safe</v>
      </c>
      <c r="Q52" s="7" t="str">
        <f>IF([1]!kaggle[[#This Row],[Stock_level]]=0,"Dead","Active")</f>
        <v>Active</v>
      </c>
    </row>
    <row r="53" spans="1:17" x14ac:dyDescent="0.35">
      <c r="A53" s="8">
        <v>45196</v>
      </c>
      <c r="B53" s="9">
        <v>2023</v>
      </c>
      <c r="C53" s="9" t="str">
        <f>TEXT([1]!kaggle[[#This Row],[Date]],"mmm")</f>
        <v>Sep</v>
      </c>
      <c r="D53" s="9">
        <v>27</v>
      </c>
      <c r="E53" s="9" t="s">
        <v>51</v>
      </c>
      <c r="F53" s="9" t="s">
        <v>56</v>
      </c>
      <c r="G53" s="9" t="s">
        <v>49</v>
      </c>
      <c r="H53" s="9" t="s">
        <v>61</v>
      </c>
      <c r="I53" s="9" t="s">
        <v>36</v>
      </c>
      <c r="J53" s="9">
        <v>262</v>
      </c>
      <c r="K53" s="9">
        <v>5.84</v>
      </c>
      <c r="L53" s="9">
        <v>4699</v>
      </c>
      <c r="M53" s="9">
        <v>251</v>
      </c>
      <c r="N53" s="9">
        <v>0</v>
      </c>
      <c r="O53" s="9">
        <f>[1]!kaggle[[#This Row],[Units_sold]]*[1]!kaggle[[#This Row],[Unit_price]]</f>
        <v>1530.08</v>
      </c>
      <c r="P53" s="9" t="str">
        <f>IF([1]!kaggle[[#This Row],[Expiry_days_remaining]]&lt;100,"High_Risk","Safe")</f>
        <v>Safe</v>
      </c>
      <c r="Q53" s="10" t="str">
        <f>IF([1]!kaggle[[#This Row],[Stock_level]]=0,"Dead","Active")</f>
        <v>Active</v>
      </c>
    </row>
    <row r="54" spans="1:17" x14ac:dyDescent="0.35">
      <c r="A54" s="5">
        <v>44007</v>
      </c>
      <c r="B54" s="6">
        <v>2020</v>
      </c>
      <c r="C54" s="6" t="str">
        <f>TEXT([1]!kaggle[[#This Row],[Date]],"mmm")</f>
        <v>Jun</v>
      </c>
      <c r="D54" s="6">
        <v>25</v>
      </c>
      <c r="E54" s="6" t="s">
        <v>37</v>
      </c>
      <c r="F54" s="6" t="s">
        <v>38</v>
      </c>
      <c r="G54" s="6" t="s">
        <v>19</v>
      </c>
      <c r="H54" s="6" t="s">
        <v>20</v>
      </c>
      <c r="I54" s="6" t="s">
        <v>21</v>
      </c>
      <c r="J54" s="6">
        <v>330</v>
      </c>
      <c r="K54" s="6">
        <v>29</v>
      </c>
      <c r="L54" s="6">
        <v>4737</v>
      </c>
      <c r="M54" s="6">
        <v>91</v>
      </c>
      <c r="N54" s="6">
        <v>1</v>
      </c>
      <c r="O54" s="6">
        <f>[1]!kaggle[[#This Row],[Units_sold]]*[1]!kaggle[[#This Row],[Unit_price]]</f>
        <v>9570</v>
      </c>
      <c r="P54" s="6" t="str">
        <f>IF([1]!kaggle[[#This Row],[Expiry_days_remaining]]&lt;100,"High_Risk","Safe")</f>
        <v>High_Risk</v>
      </c>
      <c r="Q54" s="7" t="str">
        <f>IF([1]!kaggle[[#This Row],[Stock_level]]=0,"Dead","Active")</f>
        <v>Active</v>
      </c>
    </row>
    <row r="55" spans="1:17" x14ac:dyDescent="0.35">
      <c r="A55" s="8">
        <v>44572</v>
      </c>
      <c r="B55" s="9">
        <v>2022</v>
      </c>
      <c r="C55" s="9" t="str">
        <f>TEXT([1]!kaggle[[#This Row],[Date]],"mmm")</f>
        <v>Jan</v>
      </c>
      <c r="D55" s="9">
        <v>11</v>
      </c>
      <c r="E55" s="9" t="s">
        <v>22</v>
      </c>
      <c r="F55" s="9" t="s">
        <v>23</v>
      </c>
      <c r="G55" s="9" t="s">
        <v>39</v>
      </c>
      <c r="H55" s="9" t="s">
        <v>40</v>
      </c>
      <c r="I55" s="9" t="s">
        <v>36</v>
      </c>
      <c r="J55" s="9">
        <v>463</v>
      </c>
      <c r="K55" s="9">
        <v>36.19</v>
      </c>
      <c r="L55" s="9">
        <v>4697</v>
      </c>
      <c r="M55" s="9">
        <v>599</v>
      </c>
      <c r="N55" s="9">
        <v>0</v>
      </c>
      <c r="O55" s="9">
        <f>[1]!kaggle[[#This Row],[Units_sold]]*[1]!kaggle[[#This Row],[Unit_price]]</f>
        <v>16755.969999999998</v>
      </c>
      <c r="P55" s="9" t="str">
        <f>IF([1]!kaggle[[#This Row],[Expiry_days_remaining]]&lt;100,"High_Risk","Safe")</f>
        <v>Safe</v>
      </c>
      <c r="Q55" s="10" t="str">
        <f>IF([1]!kaggle[[#This Row],[Stock_level]]=0,"Dead","Active")</f>
        <v>Active</v>
      </c>
    </row>
    <row r="56" spans="1:17" x14ac:dyDescent="0.35">
      <c r="A56" s="5">
        <v>45358</v>
      </c>
      <c r="B56" s="6">
        <v>2024</v>
      </c>
      <c r="C56" s="6" t="str">
        <f>TEXT([1]!kaggle[[#This Row],[Date]],"mmm")</f>
        <v>Mar</v>
      </c>
      <c r="D56" s="6">
        <v>7</v>
      </c>
      <c r="E56" s="6" t="s">
        <v>28</v>
      </c>
      <c r="F56" s="6" t="s">
        <v>55</v>
      </c>
      <c r="G56" s="6" t="s">
        <v>31</v>
      </c>
      <c r="H56" s="6" t="s">
        <v>48</v>
      </c>
      <c r="I56" s="6" t="s">
        <v>24</v>
      </c>
      <c r="J56" s="6">
        <v>437</v>
      </c>
      <c r="K56" s="6">
        <v>43.05</v>
      </c>
      <c r="L56" s="6">
        <v>4674</v>
      </c>
      <c r="M56" s="6">
        <v>229</v>
      </c>
      <c r="N56" s="6">
        <v>0</v>
      </c>
      <c r="O56" s="6">
        <f>[1]!kaggle[[#This Row],[Units_sold]]*[1]!kaggle[[#This Row],[Unit_price]]</f>
        <v>18812.849999999999</v>
      </c>
      <c r="P56" s="6" t="str">
        <f>IF([1]!kaggle[[#This Row],[Expiry_days_remaining]]&lt;100,"High_Risk","Safe")</f>
        <v>Safe</v>
      </c>
      <c r="Q56" s="7" t="str">
        <f>IF([1]!kaggle[[#This Row],[Stock_level]]=0,"Dead","Active")</f>
        <v>Active</v>
      </c>
    </row>
    <row r="57" spans="1:17" x14ac:dyDescent="0.35">
      <c r="A57" s="8">
        <v>44746</v>
      </c>
      <c r="B57" s="9">
        <v>2022</v>
      </c>
      <c r="C57" s="9" t="str">
        <f>TEXT([1]!kaggle[[#This Row],[Date]],"mmm")</f>
        <v>Jul</v>
      </c>
      <c r="D57" s="9">
        <v>4</v>
      </c>
      <c r="E57" s="9" t="s">
        <v>51</v>
      </c>
      <c r="F57" s="9" t="s">
        <v>58</v>
      </c>
      <c r="G57" s="9" t="s">
        <v>25</v>
      </c>
      <c r="H57" s="9" t="s">
        <v>53</v>
      </c>
      <c r="I57" s="9" t="s">
        <v>41</v>
      </c>
      <c r="J57" s="9">
        <v>206</v>
      </c>
      <c r="K57" s="9">
        <v>47.09</v>
      </c>
      <c r="L57" s="9">
        <v>4820</v>
      </c>
      <c r="M57" s="9">
        <v>358</v>
      </c>
      <c r="N57" s="9">
        <v>0</v>
      </c>
      <c r="O57" s="9">
        <f>[1]!kaggle[[#This Row],[Units_sold]]*[1]!kaggle[[#This Row],[Unit_price]]</f>
        <v>9700.5400000000009</v>
      </c>
      <c r="P57" s="9" t="str">
        <f>IF([1]!kaggle[[#This Row],[Expiry_days_remaining]]&lt;100,"High_Risk","Safe")</f>
        <v>Safe</v>
      </c>
      <c r="Q57" s="10" t="str">
        <f>IF([1]!kaggle[[#This Row],[Stock_level]]=0,"Dead","Active")</f>
        <v>Active</v>
      </c>
    </row>
    <row r="58" spans="1:17" x14ac:dyDescent="0.35">
      <c r="A58" s="5">
        <v>44993</v>
      </c>
      <c r="B58" s="6">
        <v>2023</v>
      </c>
      <c r="C58" s="6" t="str">
        <f>TEXT([1]!kaggle[[#This Row],[Date]],"mmm")</f>
        <v>Mar</v>
      </c>
      <c r="D58" s="6">
        <v>8</v>
      </c>
      <c r="E58" s="6" t="s">
        <v>22</v>
      </c>
      <c r="F58" s="6" t="s">
        <v>63</v>
      </c>
      <c r="G58" s="6" t="s">
        <v>25</v>
      </c>
      <c r="H58" s="6" t="s">
        <v>26</v>
      </c>
      <c r="I58" s="6" t="s">
        <v>21</v>
      </c>
      <c r="J58" s="6">
        <v>591</v>
      </c>
      <c r="K58" s="6">
        <v>58.86</v>
      </c>
      <c r="L58" s="6">
        <v>4484</v>
      </c>
      <c r="M58" s="6">
        <v>595</v>
      </c>
      <c r="N58" s="6">
        <v>0</v>
      </c>
      <c r="O58" s="6">
        <f>[1]!kaggle[[#This Row],[Units_sold]]*[1]!kaggle[[#This Row],[Unit_price]]</f>
        <v>34786.26</v>
      </c>
      <c r="P58" s="6" t="str">
        <f>IF([1]!kaggle[[#This Row],[Expiry_days_remaining]]&lt;100,"High_Risk","Safe")</f>
        <v>Safe</v>
      </c>
      <c r="Q58" s="7" t="str">
        <f>IF([1]!kaggle[[#This Row],[Stock_level]]=0,"Dead","Active")</f>
        <v>Active</v>
      </c>
    </row>
    <row r="59" spans="1:17" x14ac:dyDescent="0.35">
      <c r="A59" s="8">
        <v>45930</v>
      </c>
      <c r="B59" s="9">
        <v>2025</v>
      </c>
      <c r="C59" s="9" t="str">
        <f>TEXT([1]!kaggle[[#This Row],[Date]],"mmm")</f>
        <v>Sep</v>
      </c>
      <c r="D59" s="9">
        <v>30</v>
      </c>
      <c r="E59" s="9" t="s">
        <v>28</v>
      </c>
      <c r="F59" s="9" t="s">
        <v>55</v>
      </c>
      <c r="G59" s="9" t="s">
        <v>19</v>
      </c>
      <c r="H59" s="9" t="s">
        <v>20</v>
      </c>
      <c r="I59" s="9" t="s">
        <v>24</v>
      </c>
      <c r="J59" s="9">
        <v>321</v>
      </c>
      <c r="K59" s="9">
        <v>93.63</v>
      </c>
      <c r="L59" s="9">
        <v>4776</v>
      </c>
      <c r="M59" s="9">
        <v>364</v>
      </c>
      <c r="N59" s="9">
        <v>0</v>
      </c>
      <c r="O59" s="9">
        <f>[1]!kaggle[[#This Row],[Units_sold]]*[1]!kaggle[[#This Row],[Unit_price]]</f>
        <v>30055.23</v>
      </c>
      <c r="P59" s="9" t="str">
        <f>IF([1]!kaggle[[#This Row],[Expiry_days_remaining]]&lt;100,"High_Risk","Safe")</f>
        <v>Safe</v>
      </c>
      <c r="Q59" s="10" t="str">
        <f>IF([1]!kaggle[[#This Row],[Stock_level]]=0,"Dead","Active")</f>
        <v>Active</v>
      </c>
    </row>
    <row r="60" spans="1:17" x14ac:dyDescent="0.35">
      <c r="A60" s="5">
        <v>43903</v>
      </c>
      <c r="B60" s="6">
        <v>2020</v>
      </c>
      <c r="C60" s="6" t="str">
        <f>TEXT([1]!kaggle[[#This Row],[Date]],"mmm")</f>
        <v>Mar</v>
      </c>
      <c r="D60" s="6">
        <v>13</v>
      </c>
      <c r="E60" s="6" t="s">
        <v>43</v>
      </c>
      <c r="F60" s="6" t="s">
        <v>44</v>
      </c>
      <c r="G60" s="6" t="s">
        <v>31</v>
      </c>
      <c r="H60" s="6" t="s">
        <v>32</v>
      </c>
      <c r="I60" s="6" t="s">
        <v>36</v>
      </c>
      <c r="J60" s="6">
        <v>616</v>
      </c>
      <c r="K60" s="6">
        <v>95.87</v>
      </c>
      <c r="L60" s="6">
        <v>4316</v>
      </c>
      <c r="M60" s="6">
        <v>475</v>
      </c>
      <c r="N60" s="6">
        <v>1</v>
      </c>
      <c r="O60" s="6">
        <f>[1]!kaggle[[#This Row],[Units_sold]]*[1]!kaggle[[#This Row],[Unit_price]]</f>
        <v>59055.920000000006</v>
      </c>
      <c r="P60" s="6" t="str">
        <f>IF([1]!kaggle[[#This Row],[Expiry_days_remaining]]&lt;100,"High_Risk","Safe")</f>
        <v>Safe</v>
      </c>
      <c r="Q60" s="7" t="str">
        <f>IF([1]!kaggle[[#This Row],[Stock_level]]=0,"Dead","Active")</f>
        <v>Active</v>
      </c>
    </row>
    <row r="61" spans="1:17" x14ac:dyDescent="0.35">
      <c r="A61" s="8">
        <v>43854</v>
      </c>
      <c r="B61" s="9">
        <v>2020</v>
      </c>
      <c r="C61" s="9" t="str">
        <f>TEXT([1]!kaggle[[#This Row],[Date]],"mmm")</f>
        <v>Jan</v>
      </c>
      <c r="D61" s="9">
        <v>24</v>
      </c>
      <c r="E61" s="9" t="s">
        <v>17</v>
      </c>
      <c r="F61" s="9" t="s">
        <v>42</v>
      </c>
      <c r="G61" s="9" t="s">
        <v>19</v>
      </c>
      <c r="H61" s="9" t="s">
        <v>30</v>
      </c>
      <c r="I61" s="9" t="s">
        <v>24</v>
      </c>
      <c r="J61" s="9">
        <v>836</v>
      </c>
      <c r="K61" s="9">
        <v>21.47</v>
      </c>
      <c r="L61" s="9">
        <v>4086</v>
      </c>
      <c r="M61" s="9">
        <v>475</v>
      </c>
      <c r="N61" s="9">
        <v>1</v>
      </c>
      <c r="O61" s="9">
        <f>[1]!kaggle[[#This Row],[Units_sold]]*[1]!kaggle[[#This Row],[Unit_price]]</f>
        <v>17948.919999999998</v>
      </c>
      <c r="P61" s="9" t="str">
        <f>IF([1]!kaggle[[#This Row],[Expiry_days_remaining]]&lt;100,"High_Risk","Safe")</f>
        <v>Safe</v>
      </c>
      <c r="Q61" s="10" t="str">
        <f>IF([1]!kaggle[[#This Row],[Stock_level]]=0,"Dead","Active")</f>
        <v>Active</v>
      </c>
    </row>
    <row r="62" spans="1:17" x14ac:dyDescent="0.35">
      <c r="A62" s="5">
        <v>44769</v>
      </c>
      <c r="B62" s="6">
        <v>2022</v>
      </c>
      <c r="C62" s="6" t="str">
        <f>TEXT([1]!kaggle[[#This Row],[Date]],"mmm")</f>
        <v>Jul</v>
      </c>
      <c r="D62" s="6">
        <v>27</v>
      </c>
      <c r="E62" s="6" t="s">
        <v>43</v>
      </c>
      <c r="F62" s="6" t="s">
        <v>44</v>
      </c>
      <c r="G62" s="6" t="s">
        <v>19</v>
      </c>
      <c r="H62" s="6" t="s">
        <v>30</v>
      </c>
      <c r="I62" s="6" t="s">
        <v>24</v>
      </c>
      <c r="J62" s="6">
        <v>285</v>
      </c>
      <c r="K62" s="6">
        <v>31.5</v>
      </c>
      <c r="L62" s="6">
        <v>4815</v>
      </c>
      <c r="M62" s="6">
        <v>295</v>
      </c>
      <c r="N62" s="6">
        <v>0</v>
      </c>
      <c r="O62" s="6">
        <f>[1]!kaggle[[#This Row],[Units_sold]]*[1]!kaggle[[#This Row],[Unit_price]]</f>
        <v>8977.5</v>
      </c>
      <c r="P62" s="6" t="str">
        <f>IF([1]!kaggle[[#This Row],[Expiry_days_remaining]]&lt;100,"High_Risk","Safe")</f>
        <v>Safe</v>
      </c>
      <c r="Q62" s="7" t="str">
        <f>IF([1]!kaggle[[#This Row],[Stock_level]]=0,"Dead","Active")</f>
        <v>Active</v>
      </c>
    </row>
    <row r="63" spans="1:17" x14ac:dyDescent="0.35">
      <c r="A63" s="8">
        <v>44960</v>
      </c>
      <c r="B63" s="9">
        <v>2023</v>
      </c>
      <c r="C63" s="9" t="str">
        <f>TEXT([1]!kaggle[[#This Row],[Date]],"mmm")</f>
        <v>Feb</v>
      </c>
      <c r="D63" s="9">
        <v>3</v>
      </c>
      <c r="E63" s="9" t="s">
        <v>43</v>
      </c>
      <c r="F63" s="9" t="s">
        <v>44</v>
      </c>
      <c r="G63" s="9" t="s">
        <v>39</v>
      </c>
      <c r="H63" s="9" t="s">
        <v>54</v>
      </c>
      <c r="I63" s="9" t="s">
        <v>33</v>
      </c>
      <c r="J63" s="9">
        <v>561</v>
      </c>
      <c r="K63" s="9">
        <v>79.540000000000006</v>
      </c>
      <c r="L63" s="9">
        <v>4262</v>
      </c>
      <c r="M63" s="9">
        <v>594</v>
      </c>
      <c r="N63" s="9">
        <v>0</v>
      </c>
      <c r="O63" s="9">
        <f>[1]!kaggle[[#This Row],[Units_sold]]*[1]!kaggle[[#This Row],[Unit_price]]</f>
        <v>44621.94</v>
      </c>
      <c r="P63" s="9" t="str">
        <f>IF([1]!kaggle[[#This Row],[Expiry_days_remaining]]&lt;100,"High_Risk","Safe")</f>
        <v>Safe</v>
      </c>
      <c r="Q63" s="10" t="str">
        <f>IF([1]!kaggle[[#This Row],[Stock_level]]=0,"Dead","Active")</f>
        <v>Active</v>
      </c>
    </row>
    <row r="64" spans="1:17" x14ac:dyDescent="0.35">
      <c r="A64" s="5">
        <v>45619</v>
      </c>
      <c r="B64" s="6">
        <v>2024</v>
      </c>
      <c r="C64" s="6" t="str">
        <f>TEXT([1]!kaggle[[#This Row],[Date]],"mmm")</f>
        <v>Nov</v>
      </c>
      <c r="D64" s="6">
        <v>23</v>
      </c>
      <c r="E64" s="6" t="s">
        <v>28</v>
      </c>
      <c r="F64" s="6" t="s">
        <v>29</v>
      </c>
      <c r="G64" s="6" t="s">
        <v>49</v>
      </c>
      <c r="H64" s="6" t="s">
        <v>50</v>
      </c>
      <c r="I64" s="6" t="s">
        <v>36</v>
      </c>
      <c r="J64" s="6">
        <v>226</v>
      </c>
      <c r="K64" s="6">
        <v>78.7</v>
      </c>
      <c r="L64" s="6">
        <v>4587</v>
      </c>
      <c r="M64" s="6">
        <v>91</v>
      </c>
      <c r="N64" s="6">
        <v>0</v>
      </c>
      <c r="O64" s="6">
        <f>[1]!kaggle[[#This Row],[Units_sold]]*[1]!kaggle[[#This Row],[Unit_price]]</f>
        <v>17786.2</v>
      </c>
      <c r="P64" s="6" t="str">
        <f>IF([1]!kaggle[[#This Row],[Expiry_days_remaining]]&lt;100,"High_Risk","Safe")</f>
        <v>High_Risk</v>
      </c>
      <c r="Q64" s="7" t="str">
        <f>IF([1]!kaggle[[#This Row],[Stock_level]]=0,"Dead","Active")</f>
        <v>Active</v>
      </c>
    </row>
    <row r="65" spans="1:17" x14ac:dyDescent="0.35">
      <c r="A65" s="8">
        <v>45575</v>
      </c>
      <c r="B65" s="9">
        <v>2024</v>
      </c>
      <c r="C65" s="9" t="str">
        <f>TEXT([1]!kaggle[[#This Row],[Date]],"mmm")</f>
        <v>Oct</v>
      </c>
      <c r="D65" s="9">
        <v>10</v>
      </c>
      <c r="E65" s="9" t="s">
        <v>43</v>
      </c>
      <c r="F65" s="9" t="s">
        <v>62</v>
      </c>
      <c r="G65" s="9" t="s">
        <v>49</v>
      </c>
      <c r="H65" s="9" t="s">
        <v>50</v>
      </c>
      <c r="I65" s="9" t="s">
        <v>24</v>
      </c>
      <c r="J65" s="9">
        <v>218</v>
      </c>
      <c r="K65" s="9">
        <v>55.82</v>
      </c>
      <c r="L65" s="9">
        <v>4694</v>
      </c>
      <c r="M65" s="9">
        <v>438</v>
      </c>
      <c r="N65" s="9">
        <v>0</v>
      </c>
      <c r="O65" s="9">
        <f>[1]!kaggle[[#This Row],[Units_sold]]*[1]!kaggle[[#This Row],[Unit_price]]</f>
        <v>12168.76</v>
      </c>
      <c r="P65" s="9" t="str">
        <f>IF([1]!kaggle[[#This Row],[Expiry_days_remaining]]&lt;100,"High_Risk","Safe")</f>
        <v>Safe</v>
      </c>
      <c r="Q65" s="10" t="str">
        <f>IF([1]!kaggle[[#This Row],[Stock_level]]=0,"Dead","Active")</f>
        <v>Active</v>
      </c>
    </row>
    <row r="66" spans="1:17" x14ac:dyDescent="0.35">
      <c r="A66" s="5">
        <v>44212</v>
      </c>
      <c r="B66" s="6">
        <v>2021</v>
      </c>
      <c r="C66" s="6" t="str">
        <f>TEXT([1]!kaggle[[#This Row],[Date]],"mmm")</f>
        <v>Jan</v>
      </c>
      <c r="D66" s="6">
        <v>16</v>
      </c>
      <c r="E66" s="6" t="s">
        <v>51</v>
      </c>
      <c r="F66" s="6" t="s">
        <v>52</v>
      </c>
      <c r="G66" s="6" t="s">
        <v>31</v>
      </c>
      <c r="H66" s="6" t="s">
        <v>32</v>
      </c>
      <c r="I66" s="6" t="s">
        <v>41</v>
      </c>
      <c r="J66" s="6">
        <v>835</v>
      </c>
      <c r="K66" s="6">
        <v>8.4</v>
      </c>
      <c r="L66" s="6">
        <v>4089</v>
      </c>
      <c r="M66" s="6">
        <v>302</v>
      </c>
      <c r="N66" s="6">
        <v>1</v>
      </c>
      <c r="O66" s="6">
        <f>[1]!kaggle[[#This Row],[Units_sold]]*[1]!kaggle[[#This Row],[Unit_price]]</f>
        <v>7014</v>
      </c>
      <c r="P66" s="6" t="str">
        <f>IF([1]!kaggle[[#This Row],[Expiry_days_remaining]]&lt;100,"High_Risk","Safe")</f>
        <v>Safe</v>
      </c>
      <c r="Q66" s="7" t="str">
        <f>IF([1]!kaggle[[#This Row],[Stock_level]]=0,"Dead","Active")</f>
        <v>Active</v>
      </c>
    </row>
    <row r="67" spans="1:17" x14ac:dyDescent="0.35">
      <c r="A67" s="8">
        <v>44206</v>
      </c>
      <c r="B67" s="9">
        <v>2021</v>
      </c>
      <c r="C67" s="9" t="str">
        <f>TEXT([1]!kaggle[[#This Row],[Date]],"mmm")</f>
        <v>Jan</v>
      </c>
      <c r="D67" s="9">
        <v>10</v>
      </c>
      <c r="E67" s="9" t="s">
        <v>22</v>
      </c>
      <c r="F67" s="9" t="s">
        <v>63</v>
      </c>
      <c r="G67" s="9" t="s">
        <v>49</v>
      </c>
      <c r="H67" s="9" t="s">
        <v>50</v>
      </c>
      <c r="I67" s="9" t="s">
        <v>36</v>
      </c>
      <c r="J67" s="9">
        <v>704</v>
      </c>
      <c r="K67" s="9">
        <v>45.92</v>
      </c>
      <c r="L67" s="9">
        <v>4279</v>
      </c>
      <c r="M67" s="9">
        <v>238</v>
      </c>
      <c r="N67" s="9">
        <v>1</v>
      </c>
      <c r="O67" s="9">
        <f>[1]!kaggle[[#This Row],[Units_sold]]*[1]!kaggle[[#This Row],[Unit_price]]</f>
        <v>32327.68</v>
      </c>
      <c r="P67" s="9" t="str">
        <f>IF([1]!kaggle[[#This Row],[Expiry_days_remaining]]&lt;100,"High_Risk","Safe")</f>
        <v>Safe</v>
      </c>
      <c r="Q67" s="10" t="str">
        <f>IF([1]!kaggle[[#This Row],[Stock_level]]=0,"Dead","Active")</f>
        <v>Active</v>
      </c>
    </row>
    <row r="68" spans="1:17" x14ac:dyDescent="0.35">
      <c r="A68" s="5">
        <v>43977</v>
      </c>
      <c r="B68" s="6">
        <v>2020</v>
      </c>
      <c r="C68" s="6" t="str">
        <f>TEXT([1]!kaggle[[#This Row],[Date]],"mmm")</f>
        <v>May</v>
      </c>
      <c r="D68" s="6">
        <v>26</v>
      </c>
      <c r="E68" s="6" t="s">
        <v>28</v>
      </c>
      <c r="F68" s="6" t="s">
        <v>29</v>
      </c>
      <c r="G68" s="6" t="s">
        <v>25</v>
      </c>
      <c r="H68" s="6" t="s">
        <v>26</v>
      </c>
      <c r="I68" s="6" t="s">
        <v>36</v>
      </c>
      <c r="J68" s="6">
        <v>732</v>
      </c>
      <c r="K68" s="6">
        <v>58.93</v>
      </c>
      <c r="L68" s="6">
        <v>4394</v>
      </c>
      <c r="M68" s="6">
        <v>260</v>
      </c>
      <c r="N68" s="6">
        <v>1</v>
      </c>
      <c r="O68" s="6">
        <f>[1]!kaggle[[#This Row],[Units_sold]]*[1]!kaggle[[#This Row],[Unit_price]]</f>
        <v>43136.76</v>
      </c>
      <c r="P68" s="6" t="str">
        <f>IF([1]!kaggle[[#This Row],[Expiry_days_remaining]]&lt;100,"High_Risk","Safe")</f>
        <v>Safe</v>
      </c>
      <c r="Q68" s="7" t="str">
        <f>IF([1]!kaggle[[#This Row],[Stock_level]]=0,"Dead","Active")</f>
        <v>Active</v>
      </c>
    </row>
    <row r="69" spans="1:17" x14ac:dyDescent="0.35">
      <c r="A69" s="8">
        <v>44467</v>
      </c>
      <c r="B69" s="9">
        <v>2021</v>
      </c>
      <c r="C69" s="9" t="str">
        <f>TEXT([1]!kaggle[[#This Row],[Date]],"mmm")</f>
        <v>Sep</v>
      </c>
      <c r="D69" s="9">
        <v>28</v>
      </c>
      <c r="E69" s="9" t="s">
        <v>34</v>
      </c>
      <c r="F69" s="9" t="s">
        <v>57</v>
      </c>
      <c r="G69" s="9" t="s">
        <v>25</v>
      </c>
      <c r="H69" s="9" t="s">
        <v>53</v>
      </c>
      <c r="I69" s="9" t="s">
        <v>33</v>
      </c>
      <c r="J69" s="9">
        <v>921</v>
      </c>
      <c r="K69" s="9">
        <v>84.53</v>
      </c>
      <c r="L69" s="9">
        <v>3970</v>
      </c>
      <c r="M69" s="9">
        <v>717</v>
      </c>
      <c r="N69" s="9">
        <v>1</v>
      </c>
      <c r="O69" s="9">
        <f>[1]!kaggle[[#This Row],[Units_sold]]*[1]!kaggle[[#This Row],[Unit_price]]</f>
        <v>77852.13</v>
      </c>
      <c r="P69" s="9" t="str">
        <f>IF([1]!kaggle[[#This Row],[Expiry_days_remaining]]&lt;100,"High_Risk","Safe")</f>
        <v>Safe</v>
      </c>
      <c r="Q69" s="10" t="str">
        <f>IF([1]!kaggle[[#This Row],[Stock_level]]=0,"Dead","Active")</f>
        <v>Active</v>
      </c>
    </row>
    <row r="70" spans="1:17" x14ac:dyDescent="0.35">
      <c r="A70" s="5">
        <v>44246</v>
      </c>
      <c r="B70" s="6">
        <v>2021</v>
      </c>
      <c r="C70" s="6" t="str">
        <f>TEXT([1]!kaggle[[#This Row],[Date]],"mmm")</f>
        <v>Feb</v>
      </c>
      <c r="D70" s="6">
        <v>19</v>
      </c>
      <c r="E70" s="6" t="s">
        <v>37</v>
      </c>
      <c r="F70" s="6" t="s">
        <v>45</v>
      </c>
      <c r="G70" s="6" t="s">
        <v>25</v>
      </c>
      <c r="H70" s="6" t="s">
        <v>53</v>
      </c>
      <c r="I70" s="6" t="s">
        <v>33</v>
      </c>
      <c r="J70" s="6">
        <v>390</v>
      </c>
      <c r="K70" s="6">
        <v>81.66</v>
      </c>
      <c r="L70" s="6">
        <v>4489</v>
      </c>
      <c r="M70" s="6">
        <v>126</v>
      </c>
      <c r="N70" s="6">
        <v>1</v>
      </c>
      <c r="O70" s="6">
        <f>[1]!kaggle[[#This Row],[Units_sold]]*[1]!kaggle[[#This Row],[Unit_price]]</f>
        <v>31847.399999999998</v>
      </c>
      <c r="P70" s="6" t="str">
        <f>IF([1]!kaggle[[#This Row],[Expiry_days_remaining]]&lt;100,"High_Risk","Safe")</f>
        <v>Safe</v>
      </c>
      <c r="Q70" s="7" t="str">
        <f>IF([1]!kaggle[[#This Row],[Stock_level]]=0,"Dead","Active")</f>
        <v>Active</v>
      </c>
    </row>
  </sheetData>
  <conditionalFormatting sqref="P1:P70">
    <cfRule type="containsText" dxfId="0" priority="1" operator="containsText" text="High_risk">
      <formula>NOT(ISERROR(SEARCH("High_risk",P1)))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Ramola Gautam</dc:creator>
  <cp:lastModifiedBy>Ramola Gautam</cp:lastModifiedBy>
  <dcterms:created xsi:type="dcterms:W3CDTF">2026-05-25T05:54:37Z</dcterms:created>
  <dcterms:modified xsi:type="dcterms:W3CDTF">2026-05-25T05:58:14Z</dcterms:modified>
</cp:coreProperties>
</file>